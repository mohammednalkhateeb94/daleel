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اقرأني" sheetId="1" state="visible" r:id="rId1"/>
    <sheet xmlns:r="http://schemas.openxmlformats.org/officeDocument/2006/relationships" name="للمراجعة" sheetId="2" state="visible" r:id="rId2"/>
    <sheet xmlns:r="http://schemas.openxmlformats.org/officeDocument/2006/relationships" name="المقاطع" sheetId="3" state="visible" r:id="rId3"/>
    <sheet xmlns:r="http://schemas.openxmlformats.org/officeDocument/2006/relationships" name="القوالب" sheetId="4" state="visible" r:id="rId4"/>
    <sheet xmlns:r="http://schemas.openxmlformats.org/officeDocument/2006/relationships" name="الناقص" sheetId="5" state="visible" r:id="rId5"/>
    <sheet xmlns:r="http://schemas.openxmlformats.org/officeDocument/2006/relationships" name="المرفوض" sheetId="6" state="visible" r:id="rId6"/>
    <sheet xmlns:r="http://schemas.openxmlformats.org/officeDocument/2006/relationships" name="المصادر" sheetId="7" state="visible" r:id="rId7"/>
    <sheet xmlns:r="http://schemas.openxmlformats.org/officeDocument/2006/relationships" name="الاحتياجات" sheetId="8" state="visible" r:id="rId8"/>
    <sheet xmlns:r="http://schemas.openxmlformats.org/officeDocument/2006/relationships" name="الملخص" sheetId="9" state="visible" r:id="rId9"/>
  </sheets>
  <definedNames>
    <definedName name="_xlnm._FilterDatabase" localSheetId="1" hidden="1">'للمراجعة'!$A$1:$V$49</definedName>
    <definedName name="_xlnm._FilterDatabase" localSheetId="2" hidden="1">'المقاطع'!$A$1:$S$16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sz val="10"/>
    </font>
    <font>
      <name val="Arial"/>
      <b val="1"/>
      <sz val="10"/>
    </font>
    <font>
      <name val="Arial"/>
      <b val="1"/>
      <sz val="12"/>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9">
    <xf numFmtId="0" fontId="0" fillId="0" borderId="0" pivotButton="0" quotePrefix="0" xfId="0"/>
    <xf numFmtId="0" fontId="4"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1" fillId="2" borderId="1" applyAlignment="1" pivotButton="0" quotePrefix="0" xfId="0">
      <alignment horizontal="center" vertical="center" wrapText="1" readingOrder="2"/>
    </xf>
    <xf numFmtId="0" fontId="3" fillId="0" borderId="1" applyAlignment="1" pivotButton="0" quotePrefix="0" xfId="0">
      <alignment horizontal="right" vertical="top" wrapText="1" readingOrder="2"/>
    </xf>
    <xf numFmtId="0" fontId="2" fillId="0"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2" fillId="3" borderId="1" applyAlignment="1" pivotButton="0" quotePrefix="0" xfId="0">
      <alignment horizontal="right" vertical="top" wrapText="1" readingOrder="2"/>
    </xf>
  </cellXfs>
  <cellStyles count="1">
    <cellStyle name="Normal" xfId="0" builtinId="0" hidden="0"/>
  </cellStyles>
  <dxfs count="2">
    <dxf>
      <font>
        <name val="Arial"/>
        <b val="1"/>
        <color rgb="00006100"/>
      </font>
      <fill>
        <patternFill patternType="solid">
          <fgColor rgb="00E8F5E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دليل</author>
  </authors>
  <commentList>
    <comment ref="X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2.xml><?xml version="1.0" encoding="utf-8"?>
<comments xmlns="http://schemas.openxmlformats.org/spreadsheetml/2006/main">
  <authors>
    <author>دليل</author>
  </authors>
  <commentList>
    <comment ref="U1" authorId="0" shapeId="0">
      <text>
        <t>أسئلة قريبة من موضوع المقطع لا يجيب عنها، تفصل بينها «|». يراها الموجِّه فلا يختار المقطع لها، وتُبنى منها حالات اختبار. مسودة بمساعدة الذكاء الاصطناعي.</t>
      </text>
    </comment>
  </commentList>
</comments>
</file>

<file path=xl/comments/comment3.xml><?xml version="1.0" encoding="utf-8"?>
<comments xmlns="http://schemas.openxmlformats.org/spreadsheetml/2006/main">
  <authors>
    <author>دليل</author>
  </authors>
  <commentList>
    <comment ref="J1" authorId="0" shapeId="0">
      <text>
        <t>اختياري: رقم المقطع (أو أكثر، مثل ق-01 ق-02) الذي يُعرض عند الضغط على زر هذه الحاجة. إن تُرك فارغاً يُعرض أول مقطع «أساسي» منشور، ويختفي الزر إن لم يوجد.</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12"/>
  <sheetViews>
    <sheetView rightToLeft="1" workbookViewId="0">
      <selection activeCell="A1" sqref="A1"/>
    </sheetView>
  </sheetViews>
  <sheetFormatPr baseColWidth="8" defaultRowHeight="15"/>
  <cols>
    <col width="30" customWidth="1" min="1" max="1"/>
    <col width="110" customWidth="1" min="2" max="2"/>
  </cols>
  <sheetData>
    <row r="1">
      <c r="A1" s="1" t="inlineStr">
        <is>
          <t>سجل «دليل» — منهجية العمل</t>
        </is>
      </c>
      <c r="B1" s="2" t="inlineStr"/>
    </row>
    <row r="2">
      <c r="A2" s="3" t="inlineStr"/>
      <c r="B2" s="2" t="inlineStr"/>
    </row>
    <row r="3">
      <c r="A3" s="3" t="inlineStr">
        <is>
          <t>1. كل جديد يدخل «للمراجعة»</t>
        </is>
      </c>
      <c r="B3" s="2" t="inlineStr">
        <is>
          <t>كل مقطع يُستخرج وكل قالب جديد أو معدّل يوضع في ورقة «للمراجعة» فقط. لا يُنشر شيء منها.</t>
        </is>
      </c>
    </row>
    <row r="4">
      <c r="A4" s="3" t="inlineStr">
        <is>
          <t>2. القرار</t>
        </is>
      </c>
      <c r="B4" s="2" t="inlineStr">
        <is>
          <t>في «للمراجعة» تكتب: القرار (معتمد / معتمد بتعديل / مرفوض)، والتعديل أو الملاحظة، والمراجع والتاريخ. المقطع الحساس يحتاج أيضاً «موافق» في عمود رأي المختص الأعلم.</t>
        </is>
      </c>
    </row>
    <row r="5">
      <c r="A5" s="3" t="inlineStr">
        <is>
          <t>3. النقل</t>
        </is>
      </c>
      <c r="B5" s="2" t="inlineStr">
        <is>
          <t>بعد القرار ينقل السكربت scripts/promote.py: «معتمد» ← إلى «المقاطع» أو «القوالب» مع ملاحظتك في «ملاحظات الاعتماد». «معتمد بتعديل» ← يُنفَّذ التعديل أولاً ثم يُنقل مع ذكر التعديل. «مرفوض» ← إلى «المرفوض» مع السبب.</t>
        </is>
      </c>
    </row>
    <row r="6">
      <c r="A6" s="3" t="inlineStr">
        <is>
          <t>4. المنشور</t>
        </is>
      </c>
      <c r="B6" s="2" t="inlineStr">
        <is>
          <t>المنتج لا يقرأ إلا «المقاطع» و«القوالب»، ويعيد التحقق من الشروط عند التصدير.</t>
        </is>
      </c>
    </row>
    <row r="7">
      <c r="A7" s="3" t="inlineStr">
        <is>
          <t>5. الناقص</t>
        </is>
      </c>
      <c r="B7" s="2" t="inlineStr">
        <is>
          <t>مقاطع مخططة لم يُستخرج نصها بعد، مع المصدر المرشح.</t>
        </is>
      </c>
    </row>
    <row r="8">
      <c r="A8" s="3" t="inlineStr"/>
      <c r="B8" s="2" t="inlineStr"/>
    </row>
    <row r="9">
      <c r="A9" s="3" t="inlineStr">
        <is>
          <t>أسس الصحة</t>
        </is>
      </c>
      <c r="B9" s="2" t="inlineStr">
        <is>
          <t>النص حرفي من موضع محدد · المصدر معتمد بعنوان ورابط · المستوى أ أو ب · مراجعة موثقة باسم وتاريخ · الحساس بموافقة المختص الأعلم · الآيات تُعرض من نص المصحف.</t>
        </is>
      </c>
    </row>
    <row r="10">
      <c r="A10" s="3" t="inlineStr">
        <is>
          <t>الفحوص السبعة (للمراجع)</t>
        </is>
      </c>
      <c r="B10" s="2" t="inlineStr">
        <is>
          <t>١ يجيب عن السؤال المنسوب · ٢ لا يحذف قيداً أو سياقاً · ٣ لا يعرض اعتراضاً دون جواب · ٤ المعرفة السابقة واضحة · ٥ النقل والمصطلحات سليمة · ٦ النص حرفي في الموضع · ٧ لا قطع في خلاف</t>
        </is>
      </c>
    </row>
    <row r="11">
      <c r="A11" s="3" t="inlineStr">
        <is>
          <t>الألوان</t>
        </is>
      </c>
      <c r="B11" s="2" t="inlineStr">
        <is>
          <t>أصفر: تكتب فيه · رمادي: معادلة · برتقالي: حساس · أخضر: صالح للنشر</t>
        </is>
      </c>
    </row>
    <row r="12">
      <c r="A12" s="3" t="inlineStr">
        <is>
          <t>النسخة</t>
        </is>
      </c>
      <c r="B12" s="2" t="inlineStr">
        <is>
          <t>v13 — 4 أكتوبر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 width="34" customWidth="1" min="24" max="24"/>
  </cols>
  <sheetData>
    <row r="1" ht="34" customHeight="1">
      <c r="A1" s="4" t="inlineStr">
        <is>
          <t>النوع</t>
        </is>
      </c>
      <c r="B1" s="4" t="inlineStr">
        <is>
          <t>الرقم</t>
        </is>
      </c>
      <c r="C1" s="4" t="inlineStr">
        <is>
          <t>الحاجة أو متى يُستخدم</t>
        </is>
      </c>
      <c r="D1" s="4" t="inlineStr">
        <is>
          <t>الأولوية</t>
        </is>
      </c>
      <c r="E1" s="4" t="inlineStr">
        <is>
          <t>المصدر</t>
        </is>
      </c>
      <c r="F1" s="4" t="inlineStr">
        <is>
          <t>الموضع</t>
        </is>
      </c>
      <c r="G1" s="4" t="inlineStr">
        <is>
          <t>عنوان المسألة</t>
        </is>
      </c>
      <c r="H1" s="4" t="inlineStr">
        <is>
          <t>السؤال في المصدر</t>
        </is>
      </c>
      <c r="I1" s="4" t="inlineStr">
        <is>
          <t>عبارات مشابهة</t>
        </is>
      </c>
      <c r="J1" s="4" t="inlineStr">
        <is>
          <t>مضمون السؤال</t>
        </is>
      </c>
      <c r="K1" s="4" t="inlineStr">
        <is>
          <t>النص</t>
        </is>
      </c>
      <c r="L1" s="4" t="inlineStr">
        <is>
          <t>يجيب هذا المقطع عن</t>
        </is>
      </c>
      <c r="M1" s="4" t="inlineStr">
        <is>
          <t>صياغات المستخدم</t>
        </is>
      </c>
      <c r="N1" s="4" t="inlineStr">
        <is>
          <t>المستوى</t>
        </is>
      </c>
      <c r="O1" s="4" t="inlineStr">
        <is>
          <t>حساس؟</t>
        </is>
      </c>
      <c r="P1" s="4" t="inlineStr">
        <is>
          <t>آيات وأحاديث للتوثيق</t>
        </is>
      </c>
      <c r="Q1" s="4" t="inlineStr">
        <is>
          <t>ملاحظات الاستخراج</t>
        </is>
      </c>
      <c r="R1" s="4" t="inlineStr">
        <is>
          <t>ما المطلوب من المختص</t>
        </is>
      </c>
      <c r="S1" s="4" t="inlineStr">
        <is>
          <t>القرار</t>
        </is>
      </c>
      <c r="T1" s="4" t="inlineStr">
        <is>
          <t>التعديل أو الملاحظة</t>
        </is>
      </c>
      <c r="U1" s="4" t="inlineStr">
        <is>
          <t>المراجع والتاريخ</t>
        </is>
      </c>
      <c r="V1" s="4" t="inlineStr">
        <is>
          <t>رأي المختص الأعلم</t>
        </is>
      </c>
      <c r="W1" s="4" t="inlineStr">
        <is>
          <t>لا يُجتزأ</t>
        </is>
      </c>
      <c r="X1" s="4" t="inlineStr">
        <is>
          <t>أسئلة قريبة لا يجيب عنها</t>
        </is>
      </c>
    </row>
    <row r="2" ht="150" customHeight="1">
      <c r="A2" s="5" t="inlineStr">
        <is>
          <t>مقطع</t>
        </is>
      </c>
      <c r="B2" s="5" t="inlineStr">
        <is>
          <t>ق-01</t>
        </is>
      </c>
      <c r="C2" s="6" t="inlineStr">
        <is>
          <t>ح1</t>
        </is>
      </c>
      <c r="D2" s="6" t="inlineStr">
        <is>
          <t>أساسي</t>
        </is>
      </c>
      <c r="E2" s="6" t="inlineStr">
        <is>
          <t>م-02</t>
        </is>
      </c>
      <c r="F2" s="6" t="inlineStr">
        <is>
          <t>المبحث الثاني: تعريف القرآن اصطلاحاً، الفقرة الأولى — https://dorar.net/aqeeda/1365</t>
        </is>
      </c>
      <c r="G2" s="6" t="n"/>
      <c r="H2" s="6" t="n"/>
      <c r="I2" s="6" t="n"/>
      <c r="J2" s="6" t="inlineStr">
        <is>
          <t>—</t>
        </is>
      </c>
      <c r="K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L2" s="6" t="inlineStr">
        <is>
          <t>ما القرآن؟ تعريفه: كلام الله المنزل على محمد ﷺ بواسطة جبريل، بلسان عربي، المنقول بالتواتر، المكتوب في المصحف، المتعبد بتلاوته.</t>
        </is>
      </c>
      <c r="M2" s="6" t="inlineStr">
        <is>
          <t>ما هو القرآن؟ | ما تعريف القرآن؟ | إيش يعني القرآن؟ | من أين جاء القرآن؟</t>
        </is>
      </c>
      <c r="N2" s="6" t="inlineStr">
        <is>
          <t>أ</t>
        </is>
      </c>
      <c r="O2" s="6" t="inlineStr">
        <is>
          <t>لا</t>
        </is>
      </c>
      <c r="P2" s="6" t="inlineStr">
        <is>
          <t>—</t>
        </is>
      </c>
      <c r="Q2" s="6" t="inlineStr">
        <is>
          <t>فقرة كاملة من رأس المبحث.</t>
        </is>
      </c>
      <c r="R2" s="6" t="inlineStr"/>
      <c r="S2" s="8" t="n"/>
      <c r="T2" s="8" t="n"/>
      <c r="U2" s="8" t="n"/>
      <c r="V2" s="8" t="n"/>
      <c r="X2" s="8" t="inlineStr">
        <is>
          <t>لماذا يعظّم المسلمون القرآن؟ | هل القرآن من تأليف محمد؟ | ما معنى كلمة قرآن في اللغة؟</t>
        </is>
      </c>
    </row>
    <row r="3" ht="150" customHeight="1">
      <c r="A3" s="5" t="inlineStr">
        <is>
          <t>مقطع</t>
        </is>
      </c>
      <c r="B3" s="5" t="inlineStr">
        <is>
          <t>ق-02</t>
        </is>
      </c>
      <c r="C3" s="6" t="inlineStr">
        <is>
          <t>ح1</t>
        </is>
      </c>
      <c r="D3" s="6" t="inlineStr">
        <is>
          <t>أساسي</t>
        </is>
      </c>
      <c r="E3" s="6" t="inlineStr">
        <is>
          <t>م-02</t>
        </is>
      </c>
      <c r="F3" s="6" t="inlineStr">
        <is>
          <t>فضائل القرآن — المبحث الأول: من فضائل القرآن أنه هدى للمتقين — https://dorar.net/aqeeda/1376</t>
        </is>
      </c>
      <c r="G3" s="6" t="n"/>
      <c r="H3" s="6" t="n"/>
      <c r="I3" s="6" t="n"/>
      <c r="J3" s="6" t="inlineStr">
        <is>
          <t>—</t>
        </is>
      </c>
      <c r="K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L3" s="6" t="inlineStr">
        <is>
          <t>مكانة القرآن: أنه هدى للمتقين، ويهدي للتي هي أقوم في العقائد والأعمال والأخلاق.</t>
        </is>
      </c>
      <c r="M3" s="6" t="inlineStr">
        <is>
          <t>ما مكانة القرآن عند المسلمين؟ | لماذا يعظّم المسلمون القرآن؟ | ما فائدة القرآن للإنسان؟ | لماذا يقرأ المسلمون القرآن كثيراً؟</t>
        </is>
      </c>
      <c r="N3" s="6" t="inlineStr">
        <is>
          <t>أ</t>
        </is>
      </c>
      <c r="O3" s="6" t="inlineStr">
        <is>
          <t>لا</t>
        </is>
      </c>
      <c r="P3" s="6" t="inlineStr">
        <is>
          <t>البقرة 2؛ الإسراء 9 (تُعرض من المصحف). في كلام السعدي جزء آية دون علامة.</t>
        </is>
      </c>
      <c r="Q3" s="6" t="inlineStr">
        <is>
          <t>قصّ واحد «[…]»: حذفت كلام ابن كثير الطويل (فيه ثلاث آيات) للاختصار.</t>
        </is>
      </c>
      <c r="R3" s="6" t="inlineStr"/>
      <c r="S3" s="8" t="n"/>
      <c r="T3" s="8" t="n"/>
      <c r="U3" s="8" t="n"/>
      <c r="V3" s="8" t="n"/>
      <c r="X3" s="8" t="inlineStr">
        <is>
          <t>ما تعريف القرآن؟ | ما فضل قراءة القرآن؟</t>
        </is>
      </c>
    </row>
    <row r="4" ht="150" customHeight="1">
      <c r="A4" s="5" t="inlineStr">
        <is>
          <t>مقطع</t>
        </is>
      </c>
      <c r="B4" s="5" t="inlineStr">
        <is>
          <t>ق-03</t>
        </is>
      </c>
      <c r="C4" s="6" t="inlineStr">
        <is>
          <t>ح1</t>
        </is>
      </c>
      <c r="D4" s="6" t="inlineStr">
        <is>
          <t>أساسي</t>
        </is>
      </c>
      <c r="E4" s="6" t="inlineStr">
        <is>
          <t>م-02</t>
        </is>
      </c>
      <c r="F4" s="6" t="inlineStr">
        <is>
          <t>خصائص القرآن — المبحث الثامن: هيمنته على الكتب السابقة — https://dorar.net/aqeeda/1417</t>
        </is>
      </c>
      <c r="G4" s="6" t="n"/>
      <c r="H4" s="6" t="n"/>
      <c r="I4" s="6" t="n"/>
      <c r="J4" s="6" t="inlineStr">
        <is>
          <t>—</t>
        </is>
      </c>
      <c r="K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4" s="6" t="inlineStr">
        <is>
          <t>صلة القرآن بالكتب السابقة: مصدّق لها ومهيمن عليها، أمين وشاهد وحاكم عليها، وهو آخر الكتب وخاتمها.</t>
        </is>
      </c>
      <c r="M4" s="6" t="inlineStr">
        <is>
          <t>هل القرآن مثل الإنجيل عند المسيحيين؟ | ما علاقة القرآن بالتوراة والإنجيل؟ | ما معنى أن القرآن مهيمن؟</t>
        </is>
      </c>
      <c r="N4" s="6" t="inlineStr">
        <is>
          <t>ب</t>
        </is>
      </c>
      <c r="O4" s="6" t="inlineStr">
        <is>
          <t>نعم</t>
        </is>
      </c>
      <c r="P4" s="6" t="inlineStr">
        <is>
          <t>المائدة 48 (تُعرض من المصحف)</t>
        </is>
      </c>
      <c r="Q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R4" s="6" t="inlineStr">
        <is>
          <t>توصية اللجنة: يُبقى سطر «قد دخله التحريف والتبديل»، لأن القصّ قبله يحذف القيد ويوهم تصديق الكتب الموجودة الآن مطلقاً، وعُلّم المقطع «لا يُجتزأ» فيُعرض كاملاً. هل يناسب بهذه الحدود سائلاً غير مسلم يسأل «هل القرآن مثل الإنجيل؟»</t>
        </is>
      </c>
      <c r="S4" s="8" t="n"/>
      <c r="T4" s="8" t="n"/>
      <c r="U4" s="8" t="n"/>
      <c r="V4" s="8" t="n"/>
      <c r="W4" t="inlineStr">
        <is>
          <t>نعم</t>
        </is>
      </c>
      <c r="X4" s="8" t="inlineStr">
        <is>
          <t>هل نقل محمد القرآن من التوراة؟ | ما الفرق بين القرآن والحديث؟</t>
        </is>
      </c>
    </row>
    <row r="5" ht="150" customHeight="1">
      <c r="A5" s="5" t="inlineStr">
        <is>
          <t>مقطع</t>
        </is>
      </c>
      <c r="B5" s="5" t="inlineStr">
        <is>
          <t>ق-34</t>
        </is>
      </c>
      <c r="C5" s="6" t="inlineStr">
        <is>
          <t>ح1</t>
        </is>
      </c>
      <c r="D5" s="6" t="inlineStr">
        <is>
          <t>إضافي</t>
        </is>
      </c>
      <c r="E5" s="6" t="inlineStr">
        <is>
          <t>م-02</t>
        </is>
      </c>
      <c r="F5" s="6" t="inlineStr">
        <is>
          <t>المبحث الأول: تعريف القرآن لغةً — https://dorar.net/aqeeda/1363</t>
        </is>
      </c>
      <c r="G5" s="6" t="n"/>
      <c r="H5" s="6" t="n"/>
      <c r="I5" s="6" t="n"/>
      <c r="J5" s="6" t="inlineStr">
        <is>
          <t>—</t>
        </is>
      </c>
      <c r="K5"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L5" s="6" t="inlineStr">
        <is>
          <t>معنى كلمة «قرآن» في اللغة، ولماذا سُمّي القرآن بهذا الاسم.</t>
        </is>
      </c>
      <c r="M5" s="6" t="inlineStr">
        <is>
          <t>ما معنى كلمة قرآن؟ | لماذا سمي القرآن قرآناً؟</t>
        </is>
      </c>
      <c r="N5" s="6" t="inlineStr">
        <is>
          <t>أ</t>
        </is>
      </c>
      <c r="O5" s="6" t="inlineStr">
        <is>
          <t>لا</t>
        </is>
      </c>
      <c r="P5" s="6" t="inlineStr">
        <is>
          <t>—</t>
        </is>
      </c>
      <c r="Q5" s="6" t="inlineStr">
        <is>
          <t>المبحث كاملاً.</t>
        </is>
      </c>
      <c r="R5" s="6" t="inlineStr"/>
      <c r="S5" s="8" t="n"/>
      <c r="T5" s="8" t="n"/>
      <c r="U5" s="8" t="n"/>
      <c r="V5" s="8" t="n"/>
      <c r="X5" s="8" t="inlineStr">
        <is>
          <t>ما تعريف القرآن اصطلاحاً؟ | ما أسماء القرآن الأخرى؟</t>
        </is>
      </c>
    </row>
    <row r="6" ht="150" customHeight="1">
      <c r="A6" s="5" t="inlineStr">
        <is>
          <t>مقطع</t>
        </is>
      </c>
      <c r="B6" s="5" t="inlineStr">
        <is>
          <t>ق-35</t>
        </is>
      </c>
      <c r="C6" s="6" t="inlineStr">
        <is>
          <t>ح1</t>
        </is>
      </c>
      <c r="D6" s="6" t="inlineStr">
        <is>
          <t>إضافي</t>
        </is>
      </c>
      <c r="E6" s="6" t="inlineStr">
        <is>
          <t>م-02</t>
        </is>
      </c>
      <c r="F6" s="6" t="inlineStr">
        <is>
          <t>المبحث الثاني: الفرق بين القرآن الكريم والحديث القدسي، الفروق 1–4 من 13 — https://dorar.net/aqeeda/1365</t>
        </is>
      </c>
      <c r="G6" s="6" t="n"/>
      <c r="H6" s="6" t="n"/>
      <c r="I6" s="6" t="n"/>
      <c r="J6" s="6" t="inlineStr">
        <is>
          <t>—</t>
        </is>
      </c>
      <c r="K6"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L6" s="6" t="inlineStr">
        <is>
          <t>الفرق بين القرآن الكريم والحديث القدسي: التحدي بالقرآن، وتواتره، وأنه من الله لفظاً ومعنى، ونسبته إلى الله.</t>
        </is>
      </c>
      <c r="M6" s="6" t="inlineStr">
        <is>
          <t>ما الفرق بين القرآن والحديث القدسي؟ | هل الحديث القدسي من القرآن؟ | هل الحديث القدسي كلام الله مثل القرآن؟</t>
        </is>
      </c>
      <c r="N6" s="6" t="inlineStr">
        <is>
          <t>ب</t>
        </is>
      </c>
      <c r="O6" s="6" t="inlineStr">
        <is>
          <t>لا</t>
        </is>
      </c>
      <c r="P6" s="6" t="inlineStr">
        <is>
          <t>—</t>
        </is>
      </c>
      <c r="Q6" s="6" t="inlineStr">
        <is>
          <t>اخترت الفروق 1–4 من 13؛ تركت 5 و6 و10 و11 لأنها أحكام فقهية (الجنب، الصلاة، التكفير، الاستعاذة)، وتركت 7–9 و12–13 للطول.</t>
        </is>
      </c>
      <c r="R6" s="6" t="inlineStr">
        <is>
          <t>عبارة «فأغلبه أحاديث آحاد ظني الثبوت» قد يفهمها المبتدئ تشكيكاً في السنة. هل يُبقى البند 2 أم يُقصّ؟</t>
        </is>
      </c>
      <c r="S6" s="8" t="n"/>
      <c r="T6" s="8" t="n"/>
      <c r="U6" s="8" t="n"/>
      <c r="V6" s="8" t="n"/>
      <c r="X6" s="8" t="inlineStr">
        <is>
          <t>هل السنة حجة؟ | ما تعريف القرآن؟ | ما الفرق بين القرآن والحديث؟</t>
        </is>
      </c>
    </row>
    <row r="7" ht="150" customHeight="1">
      <c r="A7" s="5" t="inlineStr">
        <is>
          <t>مقطع</t>
        </is>
      </c>
      <c r="B7" s="5" t="inlineStr">
        <is>
          <t>ق-08</t>
        </is>
      </c>
      <c r="C7" s="6" t="inlineStr">
        <is>
          <t>ح2</t>
        </is>
      </c>
      <c r="D7" s="6" t="inlineStr">
        <is>
          <t>أساسي</t>
        </is>
      </c>
      <c r="E7" s="6" t="inlineStr">
        <is>
          <t>م-02</t>
        </is>
      </c>
      <c r="F7" s="6" t="inlineStr">
        <is>
          <t>خصائص القرآن — المبحث السادس، المطلب الأول: حفظ القرآن في عهد النبوة، الوجه 1 (طريقة نزول الوحي) — https://dorar.net/aqeeda/1411</t>
        </is>
      </c>
      <c r="G7" s="6" t="n"/>
      <c r="H7" s="6" t="n"/>
      <c r="I7" s="6" t="n"/>
      <c r="J7" s="6" t="inlineStr">
        <is>
          <t>—</t>
        </is>
      </c>
      <c r="K7" s="6" t="inlineStr">
        <is>
          <t>1- الطريقةُ التي كان يَنزِلُ بها الوَحيُ:
كان الوَحيُ يَنزِلُ على النَّبيِّ صلَّى اللهُ عليه وسلَّم على هيئةٍ تكون أدعى إلى حِفْظِه وضَبْطِه.
عن عائِشةَ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أشَدُّه عَلَيَّ، فيَفصِمُ عَنِّي وقد وَعَيتُ عنه ما قال، وأحيانًا يتمَثَّلُ لي المَلَكُ رَجُلًا، فيُكَلِّمُني، فأعي ما يقولُ )) .</t>
        </is>
      </c>
      <c r="L7" s="6" t="inlineStr">
        <is>
          <t>كيف كان الوحي يأتي النبي ﷺ: أحياناً مثل صلصلة الجرس وهو أشدّه عليه، وأحياناً يتمثّل له الملك رجلاً فيكلّمه.</t>
        </is>
      </c>
      <c r="M7" s="6" t="inlineStr">
        <is>
          <t>كيف كان الوحي يأتي النبي؟ | ما هو الوحي؟ | كيف وصل القرآن لمحمد؟ | كيف كان جبريل ينزل بالقرآن؟</t>
        </is>
      </c>
      <c r="N7" s="6" t="inlineStr">
        <is>
          <t>أ</t>
        </is>
      </c>
      <c r="O7" s="6" t="inlineStr">
        <is>
          <t>لا</t>
        </is>
      </c>
      <c r="P7" s="6" t="inlineStr">
        <is>
          <t>حديث عائشة في سؤال الحارث بن هشام: صحيح البخاري (2)، وصحيح مسلم (2333) — يُتحقق من الرقمين في الموسوعة الحديثية</t>
        </is>
      </c>
      <c r="Q7" s="6" t="inlineStr">
        <is>
          <t>الوجه الأول فقط بلا شرح القرطبي (للطول).</t>
        </is>
      </c>
      <c r="R7" s="6" t="inlineStr"/>
      <c r="S7" s="8" t="n"/>
      <c r="T7" s="8" t="n"/>
      <c r="U7" s="8" t="n"/>
      <c r="V7" s="8" t="n"/>
      <c r="X7" s="8" t="inlineStr">
        <is>
          <t>في أي شهر نزل القرآن؟ | لماذا لم ير الناس جبريل؟ | هل نزل القرآن مرة واحدة؟</t>
        </is>
      </c>
    </row>
    <row r="8" ht="150" customHeight="1">
      <c r="A8" s="5" t="inlineStr">
        <is>
          <t>مقطع</t>
        </is>
      </c>
      <c r="B8" s="5" t="inlineStr">
        <is>
          <t>ق-09</t>
        </is>
      </c>
      <c r="C8" s="6" t="inlineStr">
        <is>
          <t>ح2</t>
        </is>
      </c>
      <c r="D8" s="6" t="inlineStr">
        <is>
          <t>أساسي</t>
        </is>
      </c>
      <c r="E8" s="6" t="inlineStr">
        <is>
          <t>م-02</t>
        </is>
      </c>
      <c r="F8" s="6" t="inlineStr">
        <is>
          <t>فضائل القرآن — المبحث الثاني: إنزاله في شهر رمضان، أول المبحث — https://dorar.net/aqeeda/1378</t>
        </is>
      </c>
      <c r="G8" s="6" t="n"/>
      <c r="H8" s="6" t="n"/>
      <c r="I8" s="6" t="n"/>
      <c r="J8" s="6" t="inlineStr">
        <is>
          <t>—</t>
        </is>
      </c>
      <c r="K8"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L8" s="6" t="inlineStr">
        <is>
          <t>متى نزل القرآن: نزل في شهر رمضان، وصار نزوله فيه مزيّة لهذا الشهر.</t>
        </is>
      </c>
      <c r="M8" s="6" t="inlineStr">
        <is>
          <t>متى نزل القرآن؟ | في أي شهر نزل القرآن؟ | ما علاقة القرآن برمضان؟</t>
        </is>
      </c>
      <c r="N8" s="6" t="inlineStr">
        <is>
          <t>أ</t>
        </is>
      </c>
      <c r="O8" s="6" t="inlineStr">
        <is>
          <t>لا</t>
        </is>
      </c>
      <c r="P8" s="6" t="inlineStr">
        <is>
          <t>البقرة 185 (تُعرض من المصحف)</t>
        </is>
      </c>
      <c r="Q8" s="6" t="inlineStr">
        <is>
          <t>أول المبحث فقط (ثلاث فقرات). لا يذكر نزوله مفرّقاً؛ ذلك في ق-37.</t>
        </is>
      </c>
      <c r="R8" s="6" t="inlineStr"/>
      <c r="S8" s="8" t="n"/>
      <c r="T8" s="8" t="n"/>
      <c r="U8" s="8" t="n"/>
      <c r="V8" s="8" t="n"/>
      <c r="X8" s="8" t="inlineStr">
        <is>
          <t>كيف كان الوحي يأتي النبي؟ | هل نزل القرآن مرة واحدة؟ | ما فضل شهر رمضان؟</t>
        </is>
      </c>
    </row>
    <row r="9" ht="150" customHeight="1">
      <c r="A9" s="5" t="inlineStr">
        <is>
          <t>مقطع</t>
        </is>
      </c>
      <c r="B9" s="5" t="inlineStr">
        <is>
          <t>ق-37</t>
        </is>
      </c>
      <c r="C9" s="6" t="inlineStr">
        <is>
          <t>ح2</t>
        </is>
      </c>
      <c r="D9" s="6" t="inlineStr">
        <is>
          <t>إضافي</t>
        </is>
      </c>
      <c r="E9" s="6" t="inlineStr">
        <is>
          <t>م-02</t>
        </is>
      </c>
      <c r="F9" s="6" t="inlineStr">
        <is>
          <t>خصائص القرآن — المبحث الثامن، من كلام ابن كثير في نزول القرآن منجّماً — https://dorar.net/aqeeda/1417</t>
        </is>
      </c>
      <c r="G9" s="6" t="n"/>
      <c r="H9" s="6" t="n"/>
      <c r="I9" s="6" t="n"/>
      <c r="J9" s="6" t="inlineStr">
        <is>
          <t>—</t>
        </is>
      </c>
      <c r="K9"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L9" s="6" t="inlineStr">
        <is>
          <t>نزول القرآن منجّماً (مفرّقاً) بحسب الوقائع، بخلاف الكتب السابقة التي نزلت جملة واحدة.</t>
        </is>
      </c>
      <c r="M9" s="6" t="inlineStr">
        <is>
          <t>هل نزل القرآن مرة واحدة؟ | لماذا نزل القرآن مفرّقاً؟ | كم مرة نزل القرآن؟</t>
        </is>
      </c>
      <c r="N9" s="6" t="inlineStr">
        <is>
          <t>أ</t>
        </is>
      </c>
      <c r="O9" s="6" t="inlineStr">
        <is>
          <t>لا</t>
        </is>
      </c>
      <c r="P9" s="6" t="inlineStr">
        <is>
          <t>—</t>
        </is>
      </c>
      <c r="Q9" s="6" t="inlineStr">
        <is>
          <t>من وسط كلام ابن كثير: أضفت «[قال ابن كثير:]» بين معقوفين لأن النص في المصدر يبدأ بـ«وقال أيضاً»، و«(…» علامة بتر من أوله.</t>
        </is>
      </c>
      <c r="R9" s="6" t="inlineStr"/>
      <c r="S9" s="8" t="n"/>
      <c r="T9" s="8" t="n"/>
      <c r="U9" s="8" t="n"/>
      <c r="V9" s="8" t="n"/>
      <c r="X9" s="8" t="inlineStr">
        <is>
          <t>في أي شهر نزل القرآن؟ | كيف كان الوحي يأتي النبي؟</t>
        </is>
      </c>
    </row>
    <row r="10" ht="150" customHeight="1">
      <c r="A10" s="5" t="inlineStr">
        <is>
          <t>مقطع</t>
        </is>
      </c>
      <c r="B10" s="5" t="inlineStr">
        <is>
          <t>ق-33</t>
        </is>
      </c>
      <c r="C10" s="6" t="inlineStr">
        <is>
          <t>ح3</t>
        </is>
      </c>
      <c r="D10" s="6" t="inlineStr">
        <is>
          <t>أساسي</t>
        </is>
      </c>
      <c r="E10" s="6" t="inlineStr">
        <is>
          <t>م-02</t>
        </is>
      </c>
      <c r="F10" s="6" t="inlineStr">
        <is>
          <t>المطلب الثاني: حفظ القرآن في عهد الصحابة، كلام ابن عثيمين في مراحل الجمع (مع قصّ) — https://dorar.net/aqeeda/1413</t>
        </is>
      </c>
      <c r="G10" s="6" t="n"/>
      <c r="H10" s="6" t="n"/>
      <c r="I10" s="6" t="n"/>
      <c r="J10" s="6" t="inlineStr">
        <is>
          <t>—</t>
        </is>
      </c>
      <c r="K10"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L10" s="6" t="inlineStr">
        <is>
          <t>مراحل جمع القرآن الثلاث: في عهد النبي ﷺ حفظاً وكتابة متفرقة، ثم في عهد أبي بكر، ثم في عهد عثمان رضي الله عنهما، وبقاؤه متواتراً إلى اليوم.</t>
        </is>
      </c>
      <c r="M10" s="6" t="inlineStr">
        <is>
          <t>كيف جُمع القرآن؟ | متى صار القرآن كتاباً واحداً؟ | لماذا جمع أبو بكر القرآن؟ | لماذا جمع عثمان القرآن؟ | هل تغيّر القرآن منذ زمن الصحابة؟</t>
        </is>
      </c>
      <c r="N10" s="6" t="inlineStr">
        <is>
          <t>ب</t>
        </is>
      </c>
      <c r="O10" s="6" t="inlineStr">
        <is>
          <t>لا</t>
        </is>
      </c>
      <c r="P10" s="6" t="inlineStr">
        <is>
          <t>قول علي رضي الله عنه في فضل أبي بكر (أثر منقول في كلام ابن عثيمين)</t>
        </is>
      </c>
      <c r="Q10"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R10" s="6" t="inlineStr"/>
      <c r="S10" s="8" t="n"/>
      <c r="T10" s="8" t="n"/>
      <c r="U10" s="8" t="n"/>
      <c r="V10" s="8" t="n"/>
      <c r="X10" s="8" t="inlineStr">
        <is>
          <t>كيف كان الوحي ينزل؟ | من رتّب سور القرآن؟</t>
        </is>
      </c>
    </row>
    <row r="11" ht="150" customHeight="1">
      <c r="A11" s="5" t="inlineStr">
        <is>
          <t>مقطع</t>
        </is>
      </c>
      <c r="B11" s="5" t="inlineStr">
        <is>
          <t>ق-38</t>
        </is>
      </c>
      <c r="C11" s="6" t="inlineStr">
        <is>
          <t>ح3</t>
        </is>
      </c>
      <c r="D11" s="6" t="inlineStr">
        <is>
          <t>إضافي</t>
        </is>
      </c>
      <c r="E11" s="6" t="inlineStr">
        <is>
          <t>م-02</t>
        </is>
      </c>
      <c r="F11" s="6" t="inlineStr">
        <is>
          <t>خصائص القرآن — المبحث السادس، المطلب الأول: حفظ القرآن في عهد النبوة، الوجهان 3 و6 — https://dorar.net/aqeeda/1411</t>
        </is>
      </c>
      <c r="G11" s="6" t="n"/>
      <c r="H11" s="6" t="n"/>
      <c r="I11" s="6" t="n"/>
      <c r="J11" s="6" t="inlineStr">
        <is>
          <t>—</t>
        </is>
      </c>
      <c r="K11" s="6"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L11" s="6" t="inlineStr">
        <is>
          <t>كيف حُفظ القرآن زمن النبي ﷺ: كان يأمر بكتابته فكُتب مفرّقاً في الرقاع والأكتاف، وحفظه جماعة من أصحابه، وكان العرب أهل حافظة قوية.</t>
        </is>
      </c>
      <c r="M11" s="6" t="inlineStr">
        <is>
          <t>كيف حُفظ القرآن زمن النبي؟ | هل كُتب القرآن في حياة النبي؟ | كيف استطاع الصحابة حفظ القرآن؟</t>
        </is>
      </c>
      <c r="N11" s="6" t="inlineStr">
        <is>
          <t>أ</t>
        </is>
      </c>
      <c r="O11" s="6" t="inlineStr">
        <is>
          <t>لا</t>
        </is>
      </c>
      <c r="P11" s="6" t="inlineStr">
        <is>
          <t>—</t>
        </is>
      </c>
      <c r="Q11" s="6" t="inlineStr">
        <is>
          <t>بديل لـق-11 بنص غير جدلي. قصّان «[…]»: حذفت الوجوه 1 و2 و4 و5 (الأول في ق-08، والخامس في ق-39).</t>
        </is>
      </c>
      <c r="R11" s="6" t="inlineStr"/>
      <c r="S11" s="8" t="n"/>
      <c r="T11" s="8" t="n"/>
      <c r="U11" s="8" t="n"/>
      <c r="V11" s="8" t="n"/>
      <c r="X11" s="8" t="inlineStr">
        <is>
          <t>لماذا جمع عثمان القرآن؟ | كم عدد حفّاظ القرآن اليوم؟</t>
        </is>
      </c>
    </row>
    <row r="12" ht="150" customHeight="1">
      <c r="A12" s="5" t="inlineStr">
        <is>
          <t>مقطع</t>
        </is>
      </c>
      <c r="B12" s="5" t="inlineStr">
        <is>
          <t>ق-36</t>
        </is>
      </c>
      <c r="C12" s="6" t="inlineStr">
        <is>
          <t>ح6</t>
        </is>
      </c>
      <c r="D12" s="6" t="inlineStr">
        <is>
          <t>أساسي</t>
        </is>
      </c>
      <c r="E12" s="6" t="inlineStr">
        <is>
          <t>م-02</t>
        </is>
      </c>
      <c r="F12" s="6" t="inlineStr">
        <is>
          <t>فضائل القرآن — المبحث الثامن: الوعد بالثواب على قراءته ومدارسته — https://dorar.net/aqeeda/1390</t>
        </is>
      </c>
      <c r="G12" s="6" t="n"/>
      <c r="H12" s="6" t="n"/>
      <c r="I12" s="6" t="n"/>
      <c r="J12" s="6" t="inlineStr">
        <is>
          <t>—</t>
        </is>
      </c>
      <c r="K12" s="6"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L12" s="6" t="inlineStr">
        <is>
          <t>فضل تلاوة القرآن ومدارسته، والحثّ على تلاوته ليلاً ونهاراً.</t>
        </is>
      </c>
      <c r="M12" s="6" t="inlineStr">
        <is>
          <t>ما فضل قراءة القرآن؟ | لماذا أقرأ القرآن؟ | هل في قراءة القرآن أجر؟ | ما فائدة الاجتماع على القرآن؟</t>
        </is>
      </c>
      <c r="N12" s="6" t="inlineStr">
        <is>
          <t>أ</t>
        </is>
      </c>
      <c r="O12" s="6" t="inlineStr">
        <is>
          <t>لا</t>
        </is>
      </c>
      <c r="P12" s="6" t="inlineStr">
        <is>
          <t>حديث أبي هريرة: «وما اجتمع قوم في بيت من بيوت الله…» — صحيح مسلم (2699)؛ يُتحقق من رقمه في الموسوعة الحديثية</t>
        </is>
      </c>
      <c r="Q12" s="6" t="inlineStr">
        <is>
          <t>قصّ «[…]»: حذفت شرح المنح الأربع للطول، وأبقيت الحديث وكلام ابن عثيمين. يجيب عن «لماذا أقرأ» لا عن «من أين أبدأ». [5 أكتوبر] الحديث مقطوع من أوله في المصدر، فوُضعت علامة البتر. التخريج: صحيح مسلم (2699)، يُتحقق منه.</t>
        </is>
      </c>
      <c r="R12" s="6" t="inlineStr"/>
      <c r="S12" s="8" t="n"/>
      <c r="T12" s="8" t="n"/>
      <c r="U12" s="8" t="n"/>
      <c r="V12" s="8" t="n"/>
      <c r="X12" s="8" t="inlineStr">
        <is>
          <t>كيف أبدأ قراءة القرآن؟ | ما حكم قراءة القرآن للحائض؟</t>
        </is>
      </c>
    </row>
    <row r="13" ht="150" customHeight="1">
      <c r="A13" s="5" t="inlineStr">
        <is>
          <t>مقطع</t>
        </is>
      </c>
      <c r="B13" s="5" t="inlineStr">
        <is>
          <t>ق-39</t>
        </is>
      </c>
      <c r="C13" s="6" t="inlineStr">
        <is>
          <t>ح6</t>
        </is>
      </c>
      <c r="D13" s="6" t="inlineStr">
        <is>
          <t>إضافي</t>
        </is>
      </c>
      <c r="E13" s="6" t="inlineStr">
        <is>
          <t>م-02</t>
        </is>
      </c>
      <c r="F13" s="6" t="inlineStr">
        <is>
          <t>خصائص القرآن — المبحث السادس، المطلب الأول، الوجه 5: الحض على تعلم القرآن وتعليمه — https://dorar.net/aqeeda/1411</t>
        </is>
      </c>
      <c r="G13" s="6" t="n"/>
      <c r="H13" s="6" t="n"/>
      <c r="I13" s="6" t="n"/>
      <c r="J13" s="6" t="inlineStr">
        <is>
          <t>—</t>
        </is>
      </c>
      <c r="K13" s="6"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L13" s="6" t="inlineStr">
        <is>
          <t>الحثّ على تعلّم القرآن وتعليمه: «خيركم من تعلّم القرآن وعلّمه»، وكان النبي ﷺ يقدّم أكثر أصحابه أخذاً للقرآن.</t>
        </is>
      </c>
      <c r="M13" s="6" t="inlineStr">
        <is>
          <t>ما فضل تعلّم القرآن؟ | هل أتعلّم القرآن مع غيري؟ | خيركم من تعلم القرآن وعلمه</t>
        </is>
      </c>
      <c r="N13" s="6" t="inlineStr">
        <is>
          <t>أ</t>
        </is>
      </c>
      <c r="O13" s="6" t="inlineStr">
        <is>
          <t>لا</t>
        </is>
      </c>
      <c r="P13" s="6" t="inlineStr">
        <is>
          <t>حديث عثمان: «خيركم من تعلّم القرآن وعلّمه» — صحيح البخاري (5027) — يُتحقق من الرقم</t>
        </is>
      </c>
      <c r="Q13" s="6" t="inlineStr">
        <is>
          <t>الوجه الخامس دون كلام الباقلاني (للطول).</t>
        </is>
      </c>
      <c r="R13" s="6" t="inlineStr"/>
      <c r="S13" s="8" t="n"/>
      <c r="T13" s="8" t="n"/>
      <c r="U13" s="8" t="n"/>
      <c r="V13" s="8" t="n"/>
      <c r="X13" s="8" t="inlineStr">
        <is>
          <t>أين أتعلم القرآن؟ | ما أحكام التجويد؟</t>
        </is>
      </c>
    </row>
    <row r="14" ht="150" customHeight="1">
      <c r="A14" s="5" t="inlineStr">
        <is>
          <t>مقطع</t>
        </is>
      </c>
      <c r="B14" s="5" t="inlineStr">
        <is>
          <t>ق-10</t>
        </is>
      </c>
      <c r="C14" s="6" t="inlineStr">
        <is>
          <t>ح2</t>
        </is>
      </c>
      <c r="D14" s="6" t="inlineStr">
        <is>
          <t>أساسي</t>
        </is>
      </c>
      <c r="E14" s="6" t="inlineStr">
        <is>
          <t>م-03</t>
        </is>
      </c>
      <c r="F14" s="6" t="inlineStr">
        <is>
          <t>مباحث في علوم القرآن، مناع القطان — الفصل 4: المكي والمدني — الفرق بين المكي والمدني (ص 60 حسب فهرس الكتاب) — https://quranpedia.net/book/23563</t>
        </is>
      </c>
      <c r="G14" s="6" t="inlineStr">
        <is>
          <t>الفرق بين المكي والمدني</t>
        </is>
      </c>
      <c r="H14" s="6" t="n"/>
      <c r="I14" s="6" t="inlineStr">
        <is>
          <t>ما الفرق بين المكي والمدني؟ | ما معنى سورة مكية؟ | ما معنى سورة مدنية؟</t>
        </is>
      </c>
      <c r="J14" s="6" t="inlineStr">
        <is>
          <t>—</t>
        </is>
      </c>
      <c r="K14" s="6"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L14" s="6" t="inlineStr">
        <is>
          <t>معنى «مكي» و«مدني»: المكي ما نزل قبل الهجرة، والمدني ما نزل بعدها، وهو أرجح الآراء الثلاثة.</t>
        </is>
      </c>
      <c r="M14" s="6" t="inlineStr">
        <is>
          <t>ما معنى سورة مكية ومدنية؟ | يعني إيش مكية؟ | ليش مكتوب على السورة مدنية؟ | هل المكي ما نزل في مكة فقط؟</t>
        </is>
      </c>
      <c r="N14" s="6" t="inlineStr">
        <is>
          <t>أ</t>
        </is>
      </c>
      <c r="O14" s="6" t="inlineStr">
        <is>
          <t>لا</t>
        </is>
      </c>
      <c r="P14" s="6" t="inlineStr">
        <is>
          <t>النساء 58 (جزء)؛ المائدة 3 (جزء) — تُعرض من المصحف.</t>
        </is>
      </c>
      <c r="Q14" s="6" t="inlineStr">
        <is>
          <t>أخذت الرأي الأول (الذي رجّحه المؤلف) كاملاً، وقصصت الرأيين الآخرين «[…]» لأنهما يربكان المبتدئ. حذفت أرقام الحواشي.</t>
        </is>
      </c>
      <c r="R14" s="6" t="n"/>
      <c r="S14" s="8" t="n"/>
      <c r="T14" s="8" t="n"/>
      <c r="U14" s="8" t="n"/>
      <c r="V14" s="8" t="n"/>
      <c r="X14" s="8" t="inlineStr">
        <is>
          <t>ما الفرق بين أسلوب السور المكية والمدنية؟ | في أي شهر نزل القرآن؟</t>
        </is>
      </c>
    </row>
    <row r="15" ht="150" customHeight="1">
      <c r="A15" s="5" t="inlineStr">
        <is>
          <t>مقطع</t>
        </is>
      </c>
      <c r="B15" s="5" t="inlineStr">
        <is>
          <t>ق-05</t>
        </is>
      </c>
      <c r="C15" s="6" t="inlineStr">
        <is>
          <t>ح5</t>
        </is>
      </c>
      <c r="D15" s="6" t="inlineStr">
        <is>
          <t>أساسي</t>
        </is>
      </c>
      <c r="E15" s="6" t="inlineStr">
        <is>
          <t>م-03</t>
        </is>
      </c>
      <c r="F15" s="6" t="inlineStr">
        <is>
          <t>مباحث في علوم القرآن، مناع القطان — الفصل 4: المكي والمدني — مدخل الفصل (ص 49–50 حسب فهرس الكتاب) — https://quranpedia.net/book/23563</t>
        </is>
      </c>
      <c r="G15" s="6" t="inlineStr">
        <is>
          <t>خصائص الآيات المكية والمدنية</t>
        </is>
      </c>
      <c r="H15" s="6" t="n"/>
      <c r="I15" s="6" t="inlineStr">
        <is>
          <t>ما موضوعات القرآن؟ | عن ماذا يتكلم القرآن؟ | ما الرسالة الأساسية في القرآن؟</t>
        </is>
      </c>
      <c r="J15" s="6" t="inlineStr">
        <is>
          <t>—</t>
        </is>
      </c>
      <c r="K15" s="6"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L15" s="6" t="inlineStr">
        <is>
          <t>أبرز موضوعات القرآن: التوحيد، ودلائل النبوة، والآخرة والجنة والنار، وقصص الأمم السابقة، ثم الأحكام وقواعد المجتمع والأسرة.</t>
        </is>
      </c>
      <c r="M15" s="6" t="inlineStr">
        <is>
          <t>عن ماذا يتكلم القرآن؟ | ما الرسالة الأساسية في القرآن؟ | هل القرآن كتاب أحكام فقط؟ | هل يتكلم القرآن عن يوم القيامة؟ | ماذا يطلب القرآن من الإنسان؟</t>
        </is>
      </c>
      <c r="N15" s="6" t="inlineStr">
        <is>
          <t>أ</t>
        </is>
      </c>
      <c r="O15" s="6" t="inlineStr">
        <is>
          <t>نعم</t>
        </is>
      </c>
      <c r="P15" s="6" t="inlineStr">
        <is>
          <t>—</t>
        </is>
      </c>
      <c r="Q15" s="6" t="inlineStr">
        <is>
          <t>قصّان «[…]»: (1) وصف حال المشركين وقولهم مع آيتين، (2) وصف ألفاظ المكي وأساليبه. يغطي هذا المقطع وحده ق-05 وق-07 المخططين (التوحيد، والآخرة، والقيم)، فحذفت ق-07 من «الناقص». [5 أكتوبر] أُعيدت جملة «فحيث كان القوم…» ليعود إليها الضمير في «وثنيتهم» (ملاحظة اللجنة).</t>
        </is>
      </c>
      <c r="R15" s="6" t="inlineStr">
        <is>
          <t>فيه «الجهاد والاستشهاد» و«تلجم أفواههم» وصفاً لخطاب القرآن المدني. هل يناسب بحدوده مبتدئاً قد يكون غير مسلم؟</t>
        </is>
      </c>
      <c r="S15" s="8" t="n"/>
      <c r="T15" s="8" t="n"/>
      <c r="U15" s="8" t="n"/>
      <c r="V15" s="8" t="n"/>
      <c r="X15" s="8" t="inlineStr">
        <is>
          <t>ما قصة يوسف عليه السلام؟ | ما تفسير سورة الفاتحة؟</t>
        </is>
      </c>
    </row>
    <row r="16" ht="150" customHeight="1">
      <c r="A16" s="5" t="inlineStr">
        <is>
          <t>مقطع</t>
        </is>
      </c>
      <c r="B16" s="5" t="inlineStr">
        <is>
          <t>ق-06</t>
        </is>
      </c>
      <c r="C16" s="6" t="inlineStr">
        <is>
          <t>ح5</t>
        </is>
      </c>
      <c r="D16" s="6" t="inlineStr">
        <is>
          <t>أساسي</t>
        </is>
      </c>
      <c r="E16" s="6" t="inlineStr">
        <is>
          <t>م-03</t>
        </is>
      </c>
      <c r="F16" s="6" t="inlineStr">
        <is>
          <t>مباحث في علوم القرآن، مناع القطان — الفصل 21: قصص القرآن — معنى القصص، وأنواعه، وفوائده (ص 316–317 حسب فهرس الكتاب) — https://quranpedia.net/book/23563</t>
        </is>
      </c>
      <c r="G16" s="6" t="inlineStr">
        <is>
          <t>قصص القرآن</t>
        </is>
      </c>
      <c r="H16" s="6" t="n"/>
      <c r="I16" s="6" t="inlineStr">
        <is>
          <t>هل في القرآن قصص؟ | ما قصص القرآن؟ | هل يذكر القرآن الأنبياء؟</t>
        </is>
      </c>
      <c r="J16" s="6" t="inlineStr">
        <is>
          <t>—</t>
        </is>
      </c>
      <c r="K16" s="6"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L16" s="6" t="inlineStr">
        <is>
          <t>هل في القرآن قصص؟ نعم: قصص الأنبياء، وأحداث زمن النبي ﷺ، والغاية منها بيان أسس الدعوة إلى التوحيد.</t>
        </is>
      </c>
      <c r="M16" s="6" t="inlineStr">
        <is>
          <t>هل القرآن فيه قصص؟ | هل يذكر القرآن موسى وعيسى؟ | ليش القرآن يحكي قصص الأنبياء؟ | هل قصص القرآن حقيقية؟</t>
        </is>
      </c>
      <c r="N16" s="6" t="inlineStr">
        <is>
          <t>أ</t>
        </is>
      </c>
      <c r="O16" s="6" t="inlineStr">
        <is>
          <t>لا</t>
        </is>
      </c>
      <c r="P16" s="6" t="inlineStr">
        <is>
          <t>الأنبياء 25 (كاملة) — تُعرض من المصحف.</t>
        </is>
      </c>
      <c r="Q16" s="6" t="inlineStr">
        <is>
          <t>قصّ واحد «[…]»: النوع الثاني (فيه عبارة «لم تثبت ثبوتهم» قد تُفهم خطأً، ويحسن عرضها مع شرح). من الفوائد أخذت الأولى فقط لأن البقية لم ترد في النسخة الرقمية. [5 أكتوبر] أُضيفت علامة القصّ بعد الفائدة الأولى.</t>
        </is>
      </c>
      <c r="R16" s="6" t="n"/>
      <c r="S16" s="8" t="n"/>
      <c r="T16" s="8" t="n"/>
      <c r="U16" s="8" t="n"/>
      <c r="V16" s="8" t="n"/>
      <c r="X16" s="8" t="inlineStr">
        <is>
          <t>ما قصة نوح بالتفصيل؟ | هل قصص القرآن منقولة من التوراة؟</t>
        </is>
      </c>
    </row>
    <row r="17" ht="150" customHeight="1">
      <c r="A17" s="5" t="inlineStr">
        <is>
          <t>مقطع</t>
        </is>
      </c>
      <c r="B17" s="5" t="inlineStr">
        <is>
          <t>ق-15</t>
        </is>
      </c>
      <c r="C17" s="6" t="inlineStr">
        <is>
          <t>ح4</t>
        </is>
      </c>
      <c r="D17" s="6" t="inlineStr">
        <is>
          <t>أساسي</t>
        </is>
      </c>
      <c r="E17" s="6" t="inlineStr">
        <is>
          <t>م-03</t>
        </is>
      </c>
      <c r="F17" s="6" t="inlineStr">
        <is>
          <t>مباحث في علوم القرآن، مناع القطان — الفصل 8: جمع القرآن وترتيبه — ترتيب الآيات، وسور القرآن وآياته (ص 140، 145 حسب فهرس الكتاب) — https://quranpedia.net/book/23563</t>
        </is>
      </c>
      <c r="G17" s="6" t="inlineStr">
        <is>
          <t>السورة والآية وعدد السور</t>
        </is>
      </c>
      <c r="H17" s="6" t="n"/>
      <c r="I17" s="6" t="inlineStr">
        <is>
          <t>ما الفرق بين السورة والآية؟ | كم عدد سور القرآن؟ | كم عدد آيات القرآن؟</t>
        </is>
      </c>
      <c r="J17" s="6" t="inlineStr">
        <is>
          <t>—</t>
        </is>
      </c>
      <c r="K17" s="6"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L17" s="6" t="inlineStr">
        <is>
          <t>ما السورة وما الآية؟ وعدد سور القرآن 114 سورة، وآياته ستة آلاف ومئتان وزيادة.</t>
        </is>
      </c>
      <c r="M17" s="6" t="inlineStr">
        <is>
          <t>كم عدد سور القرآن؟ | ما الفرق بين السورة والآية؟ | كم آية في القرآن؟ | ما أطول سورة؟</t>
        </is>
      </c>
      <c r="N17" s="6" t="inlineStr">
        <is>
          <t>أ</t>
        </is>
      </c>
      <c r="O17" s="6" t="inlineStr">
        <is>
          <t>لا</t>
        </is>
      </c>
      <c r="P17" s="6" t="inlineStr">
        <is>
          <t>—</t>
        </is>
      </c>
      <c r="Q17" s="6" t="inlineStr">
        <is>
          <t>جمعت فقرتين من موضعين: تعريف الآية والسورة (ص 140) ثم العدد (ص 145)، وبينهما «[…]». أبقيت «وقيل: وثلاث عشرة» كما في المصدر.</t>
        </is>
      </c>
      <c r="R17" s="6" t="n"/>
      <c r="S17" s="8" t="n"/>
      <c r="T17" s="8" t="n"/>
      <c r="U17" s="8" t="n"/>
      <c r="V17" s="8" t="n"/>
      <c r="X17" s="8" t="inlineStr">
        <is>
          <t>من رتّب سور القرآن؟ | كيف أجد آية في المصحف؟</t>
        </is>
      </c>
    </row>
    <row r="18" ht="150" customHeight="1">
      <c r="A18" s="5" t="inlineStr">
        <is>
          <t>مقطع</t>
        </is>
      </c>
      <c r="B18" s="5" t="inlineStr">
        <is>
          <t>ق-16</t>
        </is>
      </c>
      <c r="C18" s="6" t="inlineStr">
        <is>
          <t>ح4</t>
        </is>
      </c>
      <c r="D18" s="6" t="inlineStr">
        <is>
          <t>أساسي</t>
        </is>
      </c>
      <c r="E18" s="6" t="inlineStr">
        <is>
          <t>م-03</t>
        </is>
      </c>
      <c r="F18" s="6" t="inlineStr">
        <is>
          <t>مباحث في علوم القرآن، مناع القطان — الفصل 8: جمع القرآن وترتيبه — ترتيب الآيات وترتيب السور (ص 140–145 حسب فهرس الكتاب) — https://quranpedia.net/book/23563</t>
        </is>
      </c>
      <c r="G18" s="6" t="inlineStr">
        <is>
          <t>ترتيب الآيات والسور</t>
        </is>
      </c>
      <c r="H18" s="6" t="n"/>
      <c r="I18" s="6" t="inlineStr">
        <is>
          <t>من رتّب القرآن؟ | هل ترتيب المصحف حسب النزول؟ | لماذا السور مرتبة هكذا؟</t>
        </is>
      </c>
      <c r="J18" s="6" t="inlineStr">
        <is>
          <t>—</t>
        </is>
      </c>
      <c r="K18" s="6"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L18" s="6" t="inlineStr">
        <is>
          <t>لماذا ليس ترتيب المصحف بحسب النزول؟ لأن ترتيب الآيات بأمر النبي ﷺ عن جبريل، والراجح أن ترتيب السور كذلك.</t>
        </is>
      </c>
      <c r="M18" s="6" t="inlineStr">
        <is>
          <t>ليش السور مو مرتبة حسب نزولها؟ | من رتب سور القرآن؟ | هل ترتيب الآيات من النبي؟ | ليش البقرة أول القرآن مع إنها مدنية؟</t>
        </is>
      </c>
      <c r="N18" s="6" t="inlineStr">
        <is>
          <t>أ</t>
        </is>
      </c>
      <c r="O18" s="6" t="inlineStr">
        <is>
          <t>لا</t>
        </is>
      </c>
      <c r="P18" s="6" t="inlineStr">
        <is>
          <t>—</t>
        </is>
      </c>
      <c r="Q18" s="6"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 [5 أكتوبر] قُصّ الأثر «ضعوا هذه الآيات…» لأن في إسناده كلاماً عند المحدّثين (ملاحظة اللجنة).</t>
        </is>
      </c>
      <c r="R18" s="6" t="inlineStr">
        <is>
          <t>المصدر يذكر خلافاً في ترتيب السور ويرجّح التوقيف. هل عرض الراجح وحده مناسب للمبتدئ؟</t>
        </is>
      </c>
      <c r="S18" s="8" t="n"/>
      <c r="T18" s="8" t="n"/>
      <c r="U18" s="8" t="n"/>
      <c r="V18" s="8" t="n"/>
      <c r="W18" t="inlineStr">
        <is>
          <t>نعم</t>
        </is>
      </c>
      <c r="X18" s="8" t="inlineStr">
        <is>
          <t>كم عدد سور القرآن؟ | لماذا تتنقل السورة بين موضوعات مختلفة؟</t>
        </is>
      </c>
    </row>
    <row r="19" ht="150" customHeight="1">
      <c r="A19" s="5" t="inlineStr">
        <is>
          <t>مقطع</t>
        </is>
      </c>
      <c r="B19" s="5" t="inlineStr">
        <is>
          <t>ق-19</t>
        </is>
      </c>
      <c r="C19" s="6" t="inlineStr">
        <is>
          <t>ح6</t>
        </is>
      </c>
      <c r="D19" s="6" t="inlineStr">
        <is>
          <t>أساسي</t>
        </is>
      </c>
      <c r="E19" s="6" t="inlineStr">
        <is>
          <t>م-03</t>
        </is>
      </c>
      <c r="F19" s="6" t="inlineStr">
        <is>
          <t>مباحث في علوم القرآن، مناع القطان — الفصل 23: التفسير والتأويل — مدخل الفصل، ومعنى التفسير، وشرف التفسير (ص 334، 339 حسب فهرس الكتاب) — https://quranpedia.net/book/23563</t>
        </is>
      </c>
      <c r="G19" s="6" t="inlineStr">
        <is>
          <t>معنى التفسير والحاجة إليه</t>
        </is>
      </c>
      <c r="H19" s="6" t="n"/>
      <c r="I19" s="6" t="inlineStr">
        <is>
          <t>ما التفسير؟ | كيف أفهم القرآن؟ | ما معنى تفسير القرآن؟</t>
        </is>
      </c>
      <c r="J19" s="6" t="inlineStr">
        <is>
          <t>—</t>
        </is>
      </c>
      <c r="K19" s="6"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L19" s="6" t="inlineStr">
        <is>
          <t>إذا قرأت ولم تفهم: الناس يتفاوتون في الفهم، والتفسير هو العلم الذي يُفهم به القرآن وتُبيَّن معانيه.</t>
        </is>
      </c>
      <c r="M19" s="6" t="inlineStr">
        <is>
          <t>أقرأ القرآن وما أفهم، شو أسوي؟ | ما هو التفسير؟ | كيف أفهم الكلمات الصعبة في القرآن؟ | هل أحتاج تفسير لأفهم القرآن؟</t>
        </is>
      </c>
      <c r="N19" s="6" t="inlineStr">
        <is>
          <t>أ</t>
        </is>
      </c>
      <c r="O19" s="6" t="inlineStr">
        <is>
          <t>لا</t>
        </is>
      </c>
      <c r="P19" s="6" t="inlineStr">
        <is>
          <t>—</t>
        </is>
      </c>
      <c r="Q19" s="6"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c r="R19" s="6" t="n"/>
      <c r="S19" s="8" t="n"/>
      <c r="T19" s="8" t="n"/>
      <c r="U19" s="8" t="n"/>
      <c r="V19" s="8" t="n"/>
      <c r="X19" s="8" t="inlineStr">
        <is>
          <t>ما تفسير آية الكرسي؟ | ما أفضل تفسير للمبتدئ؟</t>
        </is>
      </c>
    </row>
    <row r="20" ht="150" customHeight="1">
      <c r="A20" s="5" t="inlineStr">
        <is>
          <t>مقطع</t>
        </is>
      </c>
      <c r="B20" s="5" t="inlineStr">
        <is>
          <t>ق-20</t>
        </is>
      </c>
      <c r="C20" s="6" t="inlineStr">
        <is>
          <t>ح6</t>
        </is>
      </c>
      <c r="D20" s="6" t="inlineStr">
        <is>
          <t>أساسي</t>
        </is>
      </c>
      <c r="E20" s="6" t="inlineStr">
        <is>
          <t>م-03</t>
        </is>
      </c>
      <c r="F20" s="6"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t>
        </is>
      </c>
      <c r="G20" s="6" t="inlineStr">
        <is>
          <t>ترجمة القرآن: هل الترجمة قرآن؟</t>
        </is>
      </c>
      <c r="H20" s="6" t="n"/>
      <c r="I20" s="6" t="inlineStr">
        <is>
          <t>هل ترجمة القرآن تعتبر قرآناً؟ | ما الفرق بين القرآن وترجمته؟ | هل يجوز ترجمة القرآن؟</t>
        </is>
      </c>
      <c r="J20" s="6" t="inlineStr">
        <is>
          <t>—</t>
        </is>
      </c>
      <c r="K20" s="6"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ولا يقول أحد من الناس إن الكلمة من القرآن إذا ترجمت يقال فيها إنها كلام الله، فإن الله لم يتكلم إلا بما تتلوه بالعربية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L20" s="6" t="inlineStr">
        <is>
          <t>الترجمة ليست قرآناً؛ القرآن هو النص العربي، وما يُترجم هو تفسير لمعانيه بلغة أخرى.</t>
        </is>
      </c>
      <c r="M20" s="6" t="inlineStr">
        <is>
          <t>هل الترجمة تعتبر قرآناً؟ | أقدر أقرأ القرآن بالإنجليزي؟ | ما الفرق بين القرآن وترجمة معانيه؟ | ليش يقولون ترجمة معاني القرآن؟</t>
        </is>
      </c>
      <c r="N20" s="6" t="inlineStr">
        <is>
          <t>أ</t>
        </is>
      </c>
      <c r="O20" s="6" t="inlineStr">
        <is>
          <t>لا</t>
        </is>
      </c>
      <c r="P20" s="6" t="inlineStr">
        <is>
          <t>—</t>
        </is>
      </c>
      <c r="Q20" s="6"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 [5 أكتوبر] قُصّ «وقد عرفنا ما في ذلك» لأنها تحيل إلى كلام محذوف.</t>
        </is>
      </c>
      <c r="R20" s="6" t="inlineStr">
        <is>
          <t>المقطع يقتصر على أن الترجمة ليست قرآناً وأن ترجمة التفسير لا بأس بها، ولم أنقل لفظ الحكم «حرمة». هل يكفي هذا؟</t>
        </is>
      </c>
      <c r="S20" s="8" t="n"/>
      <c r="T20" s="8" t="n"/>
      <c r="U20" s="8" t="n"/>
      <c r="V20" s="8" t="n"/>
      <c r="X20" s="8" t="inlineStr">
        <is>
          <t>هل تجوز الصلاة بترجمة القرآن؟ | ما أفضل ترجمة للقرآن؟</t>
        </is>
      </c>
    </row>
    <row r="21" ht="48" customHeight="1">
      <c r="A21" s="5" t="inlineStr">
        <is>
          <t>قالب</t>
        </is>
      </c>
      <c r="B21" s="5" t="inlineStr">
        <is>
          <t>و-01</t>
        </is>
      </c>
      <c r="C21" s="6" t="inlineStr">
        <is>
          <t>أعلى كل صفحة</t>
        </is>
      </c>
      <c r="D21" s="6" t="n"/>
      <c r="E21" s="6" t="n"/>
      <c r="F21" s="6" t="n"/>
      <c r="G21" s="6" t="n"/>
      <c r="H21" s="6" t="n"/>
      <c r="I21" s="6" t="n"/>
      <c r="J21" s="6" t="n"/>
      <c r="K21" s="6" t="inlineStr">
        <is>
          <t>«دليل» أداة تستعين بالذكاء الاصطناعي لتختار لك مقطعاً من مصادر إسلامية معتمدة راجعها مختص. لا تكتب إجابات من عندها، وقد تخطئ في الاختيار.</t>
        </is>
      </c>
      <c r="L21" s="6" t="n"/>
      <c r="M21" s="6" t="n"/>
      <c r="N21" s="6" t="n"/>
      <c r="O21" s="6" t="inlineStr">
        <is>
          <t>لا</t>
        </is>
      </c>
      <c r="P21" s="6" t="n"/>
      <c r="Q21" s="6" t="inlineStr">
        <is>
          <t>مراجعة شرعية: نعم</t>
        </is>
      </c>
      <c r="R21" s="6" t="n"/>
      <c r="S21" s="8" t="n"/>
      <c r="T21" s="8" t="n"/>
      <c r="U21" s="8" t="n"/>
      <c r="V21" s="8" t="n"/>
    </row>
    <row r="22" ht="48" customHeight="1">
      <c r="A22" s="5" t="inlineStr">
        <is>
          <t>قالب</t>
        </is>
      </c>
      <c r="B22" s="5" t="inlineStr">
        <is>
          <t>و-02</t>
        </is>
      </c>
      <c r="C22" s="6" t="inlineStr">
        <is>
          <t>بعد كل جزء معروض</t>
        </is>
      </c>
      <c r="D22" s="6" t="n"/>
      <c r="E22" s="6" t="n"/>
      <c r="F22" s="6" t="n"/>
      <c r="G22" s="6" t="n"/>
      <c r="H22" s="6" t="n"/>
      <c r="I22" s="6" t="n"/>
      <c r="J22" s="6" t="n"/>
      <c r="K22" s="6" t="inlineStr">
        <is>
          <t>هل أجاب هذا عن سؤالك؟  [نعم] [جزئياً] [لا]</t>
        </is>
      </c>
      <c r="L22" s="6" t="n"/>
      <c r="M22" s="6" t="n"/>
      <c r="N22" s="6" t="n"/>
      <c r="O22" s="6" t="inlineStr">
        <is>
          <t>لا</t>
        </is>
      </c>
      <c r="P22" s="6" t="n"/>
      <c r="Q22" s="6" t="inlineStr">
        <is>
          <t>مراجعة شرعية: لا</t>
        </is>
      </c>
      <c r="R22" s="6" t="n"/>
      <c r="S22" s="8" t="n"/>
      <c r="T22" s="8" t="n"/>
      <c r="U22" s="8" t="n"/>
      <c r="V22" s="8" t="n"/>
    </row>
    <row r="23" ht="48" customHeight="1">
      <c r="A23" s="5" t="inlineStr">
        <is>
          <t>قالب</t>
        </is>
      </c>
      <c r="B23" s="5" t="inlineStr">
        <is>
          <t>و-03</t>
        </is>
      </c>
      <c r="C23" s="6" t="inlineStr">
        <is>
          <t>بعد «جزئياً»</t>
        </is>
      </c>
      <c r="D23" s="6" t="n"/>
      <c r="E23" s="6" t="n"/>
      <c r="F23" s="6" t="n"/>
      <c r="G23" s="6" t="n"/>
      <c r="H23" s="6" t="n"/>
      <c r="I23" s="6" t="n"/>
      <c r="J23" s="6" t="n"/>
      <c r="K23" s="6" t="inlineStr">
        <is>
          <t>ما الذي بقي دون إجابة؟ اكتبه بكلماتك.</t>
        </is>
      </c>
      <c r="L23" s="6" t="n"/>
      <c r="M23" s="6" t="n"/>
      <c r="N23" s="6" t="n"/>
      <c r="O23" s="6" t="inlineStr">
        <is>
          <t>لا</t>
        </is>
      </c>
      <c r="P23" s="6" t="n"/>
      <c r="Q23" s="6" t="inlineStr">
        <is>
          <t>مراجعة شرعية: لا</t>
        </is>
      </c>
      <c r="R23" s="6" t="n"/>
      <c r="S23" s="8" t="n"/>
      <c r="T23" s="8" t="n"/>
      <c r="U23" s="8" t="n"/>
      <c r="V23" s="8" t="n"/>
    </row>
    <row r="24" ht="48" customHeight="1">
      <c r="A24" s="5" t="inlineStr">
        <is>
          <t>قالب</t>
        </is>
      </c>
      <c r="B24" s="5" t="inlineStr">
        <is>
          <t>و-04</t>
        </is>
      </c>
      <c r="C24" s="6" t="inlineStr">
        <is>
          <t>فوق كل مقطع (يُملأ من السجل)</t>
        </is>
      </c>
      <c r="D24" s="6" t="n"/>
      <c r="E24" s="6" t="n"/>
      <c r="F24" s="6" t="n"/>
      <c r="G24" s="6" t="n"/>
      <c r="H24" s="6" t="n"/>
      <c r="I24" s="6" t="n"/>
      <c r="J24" s="6" t="n"/>
      <c r="K24" s="6" t="inlineStr">
        <is>
          <t>يجيب هذا المقطع عن: {يجيب_عن}</t>
        </is>
      </c>
      <c r="L24" s="6" t="n"/>
      <c r="M24" s="6" t="n"/>
      <c r="N24" s="6" t="n"/>
      <c r="O24" s="6" t="inlineStr">
        <is>
          <t>لا</t>
        </is>
      </c>
      <c r="P24" s="6" t="n"/>
      <c r="Q24" s="6" t="inlineStr">
        <is>
          <t>مراجعة شرعية: لا</t>
        </is>
      </c>
      <c r="R24" s="6" t="n"/>
      <c r="S24" s="8" t="n"/>
      <c r="T24" s="8" t="n"/>
      <c r="U24" s="8" t="n"/>
      <c r="V24" s="8" t="n"/>
    </row>
    <row r="25" ht="48" customHeight="1">
      <c r="A25" s="5" t="inlineStr">
        <is>
          <t>قالب</t>
        </is>
      </c>
      <c r="B25" s="5" t="inlineStr">
        <is>
          <t>و-05</t>
        </is>
      </c>
      <c r="C25" s="6" t="inlineStr">
        <is>
          <t>تحت وصف «يجيب عن»</t>
        </is>
      </c>
      <c r="D25" s="6" t="n"/>
      <c r="E25" s="6" t="n"/>
      <c r="F25" s="6" t="n"/>
      <c r="G25" s="6" t="n"/>
      <c r="H25" s="6" t="n"/>
      <c r="I25" s="6" t="n"/>
      <c r="J25" s="6" t="n"/>
      <c r="K25" s="6" t="inlineStr">
        <is>
          <t>وصف مساعد كُتب بمساعدة الذكاء الاصطناعي وراجعه صاحب المشروع. النص المعتمد هو المقتبس.</t>
        </is>
      </c>
      <c r="L25" s="6" t="n"/>
      <c r="M25" s="6" t="n"/>
      <c r="N25" s="6" t="n"/>
      <c r="O25" s="6" t="inlineStr">
        <is>
          <t>لا</t>
        </is>
      </c>
      <c r="P25" s="6" t="n"/>
      <c r="Q25" s="6" t="inlineStr">
        <is>
          <t>مراجعة شرعية: لا</t>
        </is>
      </c>
      <c r="R25" s="6" t="n"/>
      <c r="S25" s="8" t="n"/>
      <c r="T25" s="8" t="n"/>
      <c r="U25" s="8" t="n"/>
      <c r="V25" s="8" t="n"/>
    </row>
    <row r="26" ht="48" customHeight="1">
      <c r="A26" s="5" t="inlineStr">
        <is>
          <t>قالب</t>
        </is>
      </c>
      <c r="B26" s="5" t="inlineStr">
        <is>
          <t>ست-01</t>
        </is>
      </c>
      <c r="C26" s="6" t="inlineStr">
        <is>
          <t>التباس بين ح1 وح7</t>
        </is>
      </c>
      <c r="D26" s="6" t="n"/>
      <c r="E26" s="6" t="n"/>
      <c r="F26" s="6" t="n"/>
      <c r="G26" s="6" t="n"/>
      <c r="H26" s="6" t="n"/>
      <c r="I26" s="6" t="n"/>
      <c r="J26" s="6" t="n"/>
      <c r="K26" s="6" t="inlineStr">
        <is>
          <t>هل تريد تعريفاً بالقرآن ومكانته، أم الأسباب التي تجعل المسلمين يؤمنون أنه من عند الله؟</t>
        </is>
      </c>
      <c r="L26" s="6" t="n"/>
      <c r="M26" s="6" t="n"/>
      <c r="N26" s="6" t="n"/>
      <c r="O26" s="6" t="inlineStr">
        <is>
          <t>لا</t>
        </is>
      </c>
      <c r="P26" s="6" t="n"/>
      <c r="Q26" s="6" t="inlineStr">
        <is>
          <t>مراجعة شرعية: نعم</t>
        </is>
      </c>
      <c r="R26" s="6" t="n"/>
      <c r="S26" s="8" t="n"/>
      <c r="T26" s="8" t="n"/>
      <c r="U26" s="8" t="n"/>
      <c r="V26" s="8" t="n"/>
    </row>
    <row r="27" ht="48" customHeight="1">
      <c r="A27" s="5" t="inlineStr">
        <is>
          <t>قالب</t>
        </is>
      </c>
      <c r="B27" s="5" t="inlineStr">
        <is>
          <t>ست-02</t>
        </is>
      </c>
      <c r="C27" s="6" t="inlineStr">
        <is>
          <t>التباس بين ح2 وح7</t>
        </is>
      </c>
      <c r="D27" s="6" t="n"/>
      <c r="E27" s="6" t="n"/>
      <c r="F27" s="6" t="n"/>
      <c r="G27" s="6" t="n"/>
      <c r="H27" s="6" t="n"/>
      <c r="I27" s="6" t="n"/>
      <c r="J27" s="6" t="n"/>
      <c r="K27" s="6" t="inlineStr">
        <is>
          <t>هل تقصد كيف كان الوحي يأتي النبي ﷺ، أم لماذا يؤمن المسلمون أن القرآن من عند الله؟</t>
        </is>
      </c>
      <c r="L27" s="6" t="n"/>
      <c r="M27" s="6" t="n"/>
      <c r="N27" s="6" t="n"/>
      <c r="O27" s="6" t="inlineStr">
        <is>
          <t>لا</t>
        </is>
      </c>
      <c r="P27" s="6" t="n"/>
      <c r="Q27" s="6" t="inlineStr">
        <is>
          <t>مراجعة شرعية: نعم</t>
        </is>
      </c>
      <c r="R27" s="6" t="n"/>
      <c r="S27" s="8" t="n"/>
      <c r="T27" s="8" t="n"/>
      <c r="U27" s="8" t="n"/>
      <c r="V27" s="8" t="n"/>
    </row>
    <row r="28" ht="48" customHeight="1">
      <c r="A28" s="5" t="inlineStr">
        <is>
          <t>قالب</t>
        </is>
      </c>
      <c r="B28" s="5" t="inlineStr">
        <is>
          <t>ست-03</t>
        </is>
      </c>
      <c r="C28" s="6" t="inlineStr">
        <is>
          <t>سؤال عن «نسخ مختلفة» أو تغيّر القرآن</t>
        </is>
      </c>
      <c r="D28" s="6" t="n"/>
      <c r="E28" s="6" t="n"/>
      <c r="F28" s="6" t="n"/>
      <c r="G28" s="6" t="n"/>
      <c r="H28" s="6" t="n"/>
      <c r="I28" s="6" t="n"/>
      <c r="J28" s="6" t="n"/>
      <c r="K28" s="6" t="inlineStr">
        <is>
          <t>هل تسأل: هل القرآن الذي بين أيدينا هو نفسه الذي نزل على النبي ﷺ؟</t>
        </is>
      </c>
      <c r="L28" s="6" t="n"/>
      <c r="M28" s="6" t="n"/>
      <c r="N28" s="6" t="n"/>
      <c r="O28" s="6" t="inlineStr">
        <is>
          <t>لا</t>
        </is>
      </c>
      <c r="P28" s="6" t="n"/>
      <c r="Q28" s="6" t="inlineStr">
        <is>
          <t>مراجعة شرعية: نعم</t>
        </is>
      </c>
      <c r="R28" s="6" t="n"/>
      <c r="S28" s="8" t="n"/>
      <c r="T28" s="8" t="n"/>
      <c r="U28" s="8" t="n"/>
      <c r="V28" s="8" t="n"/>
    </row>
    <row r="29" ht="48" customHeight="1">
      <c r="A29" s="5" t="inlineStr">
        <is>
          <t>قالب</t>
        </is>
      </c>
      <c r="B29" s="5" t="inlineStr">
        <is>
          <t>ست-04</t>
        </is>
      </c>
      <c r="C29" s="6" t="inlineStr">
        <is>
          <t>سؤال واسع</t>
        </is>
      </c>
      <c r="D29" s="6" t="n"/>
      <c r="E29" s="6" t="n"/>
      <c r="F29" s="6" t="n"/>
      <c r="G29" s="6" t="n"/>
      <c r="H29" s="6" t="n"/>
      <c r="I29" s="6" t="n"/>
      <c r="J29" s="6" t="n"/>
      <c r="K29" s="6" t="inlineStr">
        <is>
          <t>يمكننا أن نبدأ من أكثر من جهة، فبأيّها تبدأ؟</t>
        </is>
      </c>
      <c r="L29" s="6" t="n"/>
      <c r="M29" s="6" t="n"/>
      <c r="N29" s="6" t="n"/>
      <c r="O29" s="6" t="inlineStr">
        <is>
          <t>لا</t>
        </is>
      </c>
      <c r="P29" s="6" t="n"/>
      <c r="Q29" s="6" t="inlineStr">
        <is>
          <t>مراجعة شرعية: لا</t>
        </is>
      </c>
      <c r="R29" s="6" t="n"/>
      <c r="S29" s="8" t="n"/>
      <c r="T29" s="8" t="n"/>
      <c r="U29" s="8" t="n"/>
      <c r="V29" s="8" t="n"/>
    </row>
    <row r="30" ht="48" customHeight="1">
      <c r="A30" s="5" t="inlineStr">
        <is>
          <t>قالب</t>
        </is>
      </c>
      <c r="B30" s="5" t="inlineStr">
        <is>
          <t>ام-01</t>
        </is>
      </c>
      <c r="C30" s="6" t="inlineStr">
        <is>
          <t>سؤال خارج القرآن</t>
        </is>
      </c>
      <c r="D30" s="6" t="n"/>
      <c r="E30" s="6" t="n"/>
      <c r="F30" s="6" t="n"/>
      <c r="G30" s="6" t="n"/>
      <c r="H30" s="6" t="n"/>
      <c r="I30" s="6" t="n"/>
      <c r="J30" s="6" t="n"/>
      <c r="K30" s="6" t="inlineStr">
        <is>
          <t>يختص «دليل» حالياً بالتعرّف إلى القرآن الكريم، وسؤالك عن موضوع آخر. يمكنك الرجوع إلى الموسوعات العلمية في موقع الدرر السنية (dorar.net).</t>
        </is>
      </c>
      <c r="L30" s="6" t="n"/>
      <c r="M30" s="6" t="n"/>
      <c r="N30" s="6" t="n"/>
      <c r="O30" s="6" t="inlineStr">
        <is>
          <t>لا</t>
        </is>
      </c>
      <c r="P30" s="6" t="n"/>
      <c r="Q30" s="6" t="inlineStr">
        <is>
          <t>مراجعة شرعية: نعم</t>
        </is>
      </c>
      <c r="R30" s="6" t="n"/>
      <c r="S30" s="8" t="n"/>
      <c r="T30" s="8" t="n"/>
      <c r="U30" s="8" t="n"/>
      <c r="V30" s="8" t="n"/>
    </row>
    <row r="31" ht="48" customHeight="1">
      <c r="A31" s="5" t="inlineStr">
        <is>
          <t>قالب</t>
        </is>
      </c>
      <c r="B31" s="5" t="inlineStr">
        <is>
          <t>ام-02</t>
        </is>
      </c>
      <c r="C31" s="6" t="inlineStr">
        <is>
          <t>فتوى أو حالة شخصية (المستوى د)</t>
        </is>
      </c>
      <c r="D31" s="6" t="n"/>
      <c r="E31" s="6" t="n"/>
      <c r="F31" s="6" t="n"/>
      <c r="G31" s="6" t="n"/>
      <c r="H31" s="6" t="n"/>
      <c r="I31" s="6" t="n"/>
      <c r="J31" s="6" t="n"/>
      <c r="K31" s="6" t="inlineStr">
        <is>
          <t>سؤالك يحتاج إلى جواب يراعي حالتك بعينها، وهذا خارج ما يقدمه «دليل». ننصحك بسؤال عالم أو جهة إفتاء موثوقة في بلدك.</t>
        </is>
      </c>
      <c r="L31" s="6" t="n"/>
      <c r="M31" s="6" t="n"/>
      <c r="N31" s="6" t="n"/>
      <c r="O31" s="6" t="inlineStr">
        <is>
          <t>لا</t>
        </is>
      </c>
      <c r="P31" s="6" t="n"/>
      <c r="Q31" s="6" t="inlineStr">
        <is>
          <t>مراجعة شرعية: نعم</t>
        </is>
      </c>
      <c r="R31" s="6" t="n"/>
      <c r="S31" s="8" t="n"/>
      <c r="T31" s="8" t="n"/>
      <c r="U31" s="8" t="n"/>
      <c r="V31" s="8" t="n"/>
    </row>
    <row r="32" ht="48" customHeight="1">
      <c r="A32" s="5" t="inlineStr">
        <is>
          <t>قالب</t>
        </is>
      </c>
      <c r="B32" s="5" t="inlineStr">
        <is>
          <t>ام-03</t>
        </is>
      </c>
      <c r="C32" s="6" t="inlineStr">
        <is>
          <t>القراءات وأوجه الأداء (قرار نطاق)</t>
        </is>
      </c>
      <c r="D32" s="6" t="n"/>
      <c r="E32" s="6" t="n"/>
      <c r="F32" s="6" t="n"/>
      <c r="G32" s="6" t="n"/>
      <c r="H32" s="6" t="n"/>
      <c r="I32" s="6" t="n"/>
      <c r="J32" s="6" t="n"/>
      <c r="K32" s="6" t="inlineStr">
        <is>
          <t>تفاصيل القراءات علم متخصص لا يغطيه «دليل» في نسخته الحالية، ويُرجع فيه إلى أهل الاختصاص.</t>
        </is>
      </c>
      <c r="L32" s="6" t="n"/>
      <c r="M32" s="6" t="n"/>
      <c r="N32" s="6" t="n"/>
      <c r="O32" s="6" t="inlineStr">
        <is>
          <t>لا</t>
        </is>
      </c>
      <c r="P32" s="6" t="n"/>
      <c r="Q32" s="6" t="inlineStr">
        <is>
          <t>مراجعة شرعية: نعم</t>
        </is>
      </c>
      <c r="R32" s="6" t="n"/>
      <c r="S32" s="8" t="n"/>
      <c r="T32" s="8" t="n"/>
      <c r="U32" s="8" t="n"/>
      <c r="V32" s="8" t="n"/>
    </row>
    <row r="33" ht="48" customHeight="1">
      <c r="A33" s="5" t="inlineStr">
        <is>
          <t>قالب</t>
        </is>
      </c>
      <c r="B33" s="5" t="inlineStr">
        <is>
          <t>ام-04</t>
        </is>
      </c>
      <c r="C33" s="6" t="inlineStr">
        <is>
          <t>«الإعجاز العلمي» (قرار نطاق)</t>
        </is>
      </c>
      <c r="D33" s="6" t="n"/>
      <c r="E33" s="6" t="n"/>
      <c r="F33" s="6" t="n"/>
      <c r="G33" s="6" t="n"/>
      <c r="H33" s="6" t="n"/>
      <c r="I33" s="6" t="n"/>
      <c r="J33" s="6" t="n"/>
      <c r="K33" s="6" t="inlineStr">
        <is>
          <t>هذا الموضوع خارج ما تغطيه هذه النسخة من «دليل».</t>
        </is>
      </c>
      <c r="L33" s="6" t="n"/>
      <c r="M33" s="6" t="n"/>
      <c r="N33" s="6" t="n"/>
      <c r="O33" s="6" t="inlineStr">
        <is>
          <t>لا</t>
        </is>
      </c>
      <c r="P33" s="6" t="n"/>
      <c r="Q33" s="6" t="inlineStr">
        <is>
          <t>مراجعة شرعية: نعم</t>
        </is>
      </c>
      <c r="R33" s="6" t="n"/>
      <c r="S33" s="8" t="n"/>
      <c r="T33" s="8" t="n"/>
      <c r="U33" s="8" t="n"/>
      <c r="V33" s="8" t="n"/>
    </row>
    <row r="34" ht="48" customHeight="1">
      <c r="A34" s="5" t="inlineStr">
        <is>
          <t>قالب</t>
        </is>
      </c>
      <c r="B34" s="5" t="inlineStr">
        <is>
          <t>ام-05</t>
        </is>
      </c>
      <c r="C34" s="6" t="inlineStr">
        <is>
          <t>طلب حديث أو نص غير موجود في المواد</t>
        </is>
      </c>
      <c r="D34" s="6" t="n"/>
      <c r="E34" s="6" t="n"/>
      <c r="F34" s="6" t="n"/>
      <c r="G34" s="6" t="n"/>
      <c r="H34" s="6" t="n"/>
      <c r="I34" s="6" t="n"/>
      <c r="J34" s="6" t="n"/>
      <c r="K34" s="6" t="inlineStr">
        <is>
          <t>لم نجد في مواد «دليل» المراجعة ما يطابق طلبك، ولا نعرض نصاً لم نتحقق منه. يمكنك البحث في الموسوعة الحديثية بموقع الدرر السنية، مع حكم كل حديث.</t>
        </is>
      </c>
      <c r="L34" s="6" t="n"/>
      <c r="M34" s="6" t="n"/>
      <c r="N34" s="6" t="n"/>
      <c r="O34" s="6" t="inlineStr">
        <is>
          <t>لا</t>
        </is>
      </c>
      <c r="P34" s="6" t="n"/>
      <c r="Q34" s="6" t="inlineStr">
        <is>
          <t>مراجعة شرعية: نعم</t>
        </is>
      </c>
      <c r="R34" s="6" t="n"/>
      <c r="S34" s="8" t="n"/>
      <c r="T34" s="8" t="n"/>
      <c r="U34" s="8" t="n"/>
      <c r="V34" s="8" t="n"/>
    </row>
    <row r="35" ht="48" customHeight="1">
      <c r="A35" s="5" t="inlineStr">
        <is>
          <t>قالب</t>
        </is>
      </c>
      <c r="B35" s="5" t="inlineStr">
        <is>
          <t>ام-06</t>
        </is>
      </c>
      <c r="C35" s="6" t="inlineStr">
        <is>
          <t>آية لم تُعثر عليها في المصحف</t>
        </is>
      </c>
      <c r="D35" s="6" t="n"/>
      <c r="E35" s="6" t="n"/>
      <c r="F35" s="6" t="n"/>
      <c r="G35" s="6" t="n"/>
      <c r="H35" s="6" t="n"/>
      <c r="I35" s="6" t="n"/>
      <c r="J35" s="6" t="n"/>
      <c r="K35" s="6" t="inlineStr">
        <is>
          <t>لم نجد آية تطابق النص الذي كتبته. يمكنك البحث عنها في مصحف موثوق مثل quranpedia.net.</t>
        </is>
      </c>
      <c r="L35" s="6" t="n"/>
      <c r="M35" s="6" t="n"/>
      <c r="N35" s="6" t="n"/>
      <c r="O35" s="6" t="inlineStr">
        <is>
          <t>لا</t>
        </is>
      </c>
      <c r="P35" s="6" t="n"/>
      <c r="Q35" s="6" t="inlineStr">
        <is>
          <t>مراجعة شرعية: لا</t>
        </is>
      </c>
      <c r="R35" s="6" t="n"/>
      <c r="S35" s="8" t="n"/>
      <c r="T35" s="8" t="n"/>
      <c r="U35" s="8" t="n"/>
      <c r="V35" s="8" t="n"/>
    </row>
    <row r="36" ht="48" customHeight="1">
      <c r="A36" s="5" t="inlineStr">
        <is>
          <t>قالب</t>
        </is>
      </c>
      <c r="B36" s="5" t="inlineStr">
        <is>
          <t>ام-07</t>
        </is>
      </c>
      <c r="C36" s="6" t="inlineStr">
        <is>
          <t>الحاجة داخل النطاق ولا جزء مناسب</t>
        </is>
      </c>
      <c r="D36" s="6" t="n"/>
      <c r="E36" s="6" t="n"/>
      <c r="F36" s="6" t="n"/>
      <c r="G36" s="6" t="n"/>
      <c r="H36" s="6" t="n"/>
      <c r="I36" s="6" t="n"/>
      <c r="J36" s="6" t="n"/>
      <c r="K36" s="6" t="inlineStr">
        <is>
          <t>لم نجد في مواد «دليل» المراجعة جزءاً يجيب عن هذا بدقة. نفضّل أن نخبرك بذلك على أن نعرض عليك ما لا يجيب. اختر من الأسئلة المتاحة أدناه.</t>
        </is>
      </c>
      <c r="L36" s="6" t="n"/>
      <c r="M36" s="6" t="n"/>
      <c r="N36" s="6" t="n"/>
      <c r="O36" s="6" t="inlineStr">
        <is>
          <t>لا</t>
        </is>
      </c>
      <c r="P36" s="6" t="n"/>
      <c r="Q36" s="6" t="inlineStr">
        <is>
          <t>مراجعة شرعية: لا</t>
        </is>
      </c>
      <c r="R36" s="6" t="n"/>
      <c r="S36" s="8" t="n"/>
      <c r="T36" s="8" t="n"/>
      <c r="U36" s="8" t="n"/>
      <c r="V36" s="8" t="n"/>
    </row>
    <row r="37" ht="48" customHeight="1">
      <c r="A37" s="5" t="inlineStr">
        <is>
          <t>قالب</t>
        </is>
      </c>
      <c r="B37" s="5" t="inlineStr">
        <is>
          <t>ام-08</t>
        </is>
      </c>
      <c r="C37" s="6" t="inlineStr">
        <is>
          <t>سؤال بغير العربية</t>
        </is>
      </c>
      <c r="D37" s="6" t="n"/>
      <c r="E37" s="6" t="n"/>
      <c r="F37" s="6" t="n"/>
      <c r="G37" s="6" t="n"/>
      <c r="H37" s="6" t="n"/>
      <c r="I37" s="6" t="n"/>
      <c r="J37" s="6" t="n"/>
      <c r="K37" s="6" t="inlineStr">
        <is>
          <t>يعمل «دليل» حالياً باللغة العربية فقط. — Daleel currently works in Arabic only.</t>
        </is>
      </c>
      <c r="L37" s="6" t="n"/>
      <c r="M37" s="6" t="n"/>
      <c r="N37" s="6" t="n"/>
      <c r="O37" s="6" t="inlineStr">
        <is>
          <t>لا</t>
        </is>
      </c>
      <c r="P37" s="6" t="n"/>
      <c r="Q37" s="6" t="inlineStr">
        <is>
          <t>مراجعة شرعية: لا</t>
        </is>
      </c>
      <c r="R37" s="6" t="n"/>
      <c r="S37" s="8" t="n"/>
      <c r="T37" s="8" t="n"/>
      <c r="U37" s="8" t="n"/>
      <c r="V37" s="8" t="n"/>
    </row>
    <row r="38" ht="48" customHeight="1">
      <c r="A38" s="5" t="inlineStr">
        <is>
          <t>قالب</t>
        </is>
      </c>
      <c r="B38" s="5" t="inlineStr">
        <is>
          <t>ام-09</t>
        </is>
      </c>
      <c r="C38" s="6" t="inlineStr">
        <is>
          <t>تفسير آية بعينها (قرار نطاق)</t>
        </is>
      </c>
      <c r="D38" s="6" t="n"/>
      <c r="E38" s="6" t="n"/>
      <c r="F38" s="6" t="n"/>
      <c r="G38" s="6" t="n"/>
      <c r="H38" s="6" t="n"/>
      <c r="I38" s="6" t="n"/>
      <c r="J38" s="6" t="n"/>
      <c r="K38" s="6" t="inlineStr">
        <is>
          <t>تفسير آيات بعينها خارج ما يغطيه «دليل» حالياً. يمكنك الرجوع إلى موسوعة التفسير بموقع الدرر السنية.</t>
        </is>
      </c>
      <c r="L38" s="6" t="n"/>
      <c r="M38" s="6" t="n"/>
      <c r="N38" s="6" t="n"/>
      <c r="O38" s="6" t="inlineStr">
        <is>
          <t>لا</t>
        </is>
      </c>
      <c r="P38" s="6" t="n"/>
      <c r="Q38" s="6" t="inlineStr">
        <is>
          <t>مراجعة شرعية: نعم</t>
        </is>
      </c>
      <c r="R38" s="6" t="n"/>
      <c r="S38" s="8" t="n"/>
      <c r="T38" s="8" t="n"/>
      <c r="U38" s="8" t="n"/>
      <c r="V38" s="8" t="n"/>
    </row>
    <row r="39" ht="48" customHeight="1">
      <c r="A39" s="5" t="inlineStr">
        <is>
          <t>قالب</t>
        </is>
      </c>
      <c r="B39" s="5" t="inlineStr">
        <is>
          <t>ام-10</t>
        </is>
      </c>
      <c r="C39" s="6" t="inlineStr">
        <is>
          <t>تعطل خدمة الفهم</t>
        </is>
      </c>
      <c r="D39" s="6" t="n"/>
      <c r="E39" s="6" t="n"/>
      <c r="F39" s="6" t="n"/>
      <c r="G39" s="6" t="n"/>
      <c r="H39" s="6" t="n"/>
      <c r="I39" s="6" t="n"/>
      <c r="J39" s="6" t="n"/>
      <c r="K39" s="6" t="inlineStr">
        <is>
          <t>خدمة فهم الأسئلة متوقفة مؤقتاً. اختر سؤالك من القائمة.</t>
        </is>
      </c>
      <c r="L39" s="6" t="n"/>
      <c r="M39" s="6" t="n"/>
      <c r="N39" s="6" t="n"/>
      <c r="O39" s="6" t="inlineStr">
        <is>
          <t>لا</t>
        </is>
      </c>
      <c r="P39" s="6" t="n"/>
      <c r="Q39" s="6" t="inlineStr">
        <is>
          <t>مراجعة شرعية: لا</t>
        </is>
      </c>
      <c r="R39" s="6" t="n"/>
      <c r="S39" s="8" t="n"/>
      <c r="T39" s="8" t="n"/>
      <c r="U39" s="8" t="n"/>
      <c r="V39" s="8" t="n"/>
    </row>
    <row r="40" ht="48" customHeight="1">
      <c r="A40" s="5" t="inlineStr">
        <is>
          <t>قالب</t>
        </is>
      </c>
      <c r="B40" s="5" t="inlineStr">
        <is>
          <t>و-06</t>
        </is>
      </c>
      <c r="C40" s="6" t="inlineStr">
        <is>
          <t>فوق نص المقطع (يُملأ من السجل)</t>
        </is>
      </c>
      <c r="D40" s="6" t="n"/>
      <c r="E40" s="6" t="n"/>
      <c r="F40" s="6" t="n"/>
      <c r="G40" s="6" t="n"/>
      <c r="H40" s="6" t="n"/>
      <c r="I40" s="6" t="n"/>
      <c r="J40" s="6" t="n"/>
      <c r="K40" s="6" t="inlineStr">
        <is>
          <t>من جواب «{المصدر}» عن سؤال: {عنوان_المسألة}</t>
        </is>
      </c>
      <c r="L40" s="6" t="n"/>
      <c r="M40" s="6" t="n"/>
      <c r="N40" s="6" t="n"/>
      <c r="O40" s="6" t="inlineStr">
        <is>
          <t>لا</t>
        </is>
      </c>
      <c r="P40" s="6" t="n"/>
      <c r="Q40" s="6" t="inlineStr">
        <is>
          <t>مراجعة شرعية: لا</t>
        </is>
      </c>
      <c r="R40" s="6" t="n"/>
      <c r="S40" s="8" t="n"/>
      <c r="T40" s="8" t="n"/>
      <c r="U40" s="8" t="n"/>
      <c r="V40" s="8" t="n"/>
    </row>
    <row r="41" ht="48" customHeight="1">
      <c r="A41" s="5" t="inlineStr">
        <is>
          <t>قالب</t>
        </is>
      </c>
      <c r="B41" s="5" t="inlineStr">
        <is>
          <t>و-07</t>
        </is>
      </c>
      <c r="C41" s="6" t="inlineStr">
        <is>
          <t>شاشة البداية</t>
        </is>
      </c>
      <c r="D41" s="6" t="n"/>
      <c r="E41" s="6" t="n"/>
      <c r="F41" s="6" t="n"/>
      <c r="G41" s="6" t="n"/>
      <c r="H41" s="6" t="n"/>
      <c r="I41" s="6" t="n"/>
      <c r="J41" s="6" t="n"/>
      <c r="K41" s="6" t="inlineStr">
        <is>
          <t>اكتب سؤالك عن القرآن بكلماتك، مثل: كيف حُفظ القرآن؟ أو اختر من الأسئلة أدناه.</t>
        </is>
      </c>
      <c r="L41" s="6" t="n"/>
      <c r="M41" s="6" t="n"/>
      <c r="N41" s="6" t="n"/>
      <c r="O41" s="6" t="inlineStr">
        <is>
          <t>لا</t>
        </is>
      </c>
      <c r="P41" s="6" t="n"/>
      <c r="Q41" s="6" t="inlineStr">
        <is>
          <t>مراجعة شرعية: لا</t>
        </is>
      </c>
      <c r="R41" s="6" t="n"/>
      <c r="S41" s="8" t="n"/>
      <c r="T41" s="8" t="n"/>
      <c r="U41" s="8" t="n"/>
      <c r="V41" s="8" t="n"/>
    </row>
    <row r="42" ht="48" customHeight="1">
      <c r="A42" s="5" t="inlineStr">
        <is>
          <t>قالب</t>
        </is>
      </c>
      <c r="B42" s="5" t="inlineStr">
        <is>
          <t>و-08</t>
        </is>
      </c>
      <c r="C42" s="6" t="inlineStr">
        <is>
          <t>سطر الخصوصية</t>
        </is>
      </c>
      <c r="D42" s="6" t="n"/>
      <c r="E42" s="6" t="n"/>
      <c r="F42" s="6" t="n"/>
      <c r="G42" s="6" t="n"/>
      <c r="H42" s="6" t="n"/>
      <c r="I42" s="6" t="n"/>
      <c r="J42" s="6" t="n"/>
      <c r="K42" s="6" t="inlineStr">
        <is>
          <t>لا تكتب اسمك أو أي معلومات شخصية. لا نحفظ نص سؤالك، ونرسله إلى مزوّد النموذج اللغوي لفهمه فقط.</t>
        </is>
      </c>
      <c r="L42" s="6" t="n"/>
      <c r="M42" s="6" t="n"/>
      <c r="N42" s="6" t="n"/>
      <c r="O42" s="6" t="inlineStr">
        <is>
          <t>لا</t>
        </is>
      </c>
      <c r="P42" s="6" t="n"/>
      <c r="Q42" s="6" t="inlineStr">
        <is>
          <t>مراجعة شرعية: لا</t>
        </is>
      </c>
      <c r="R42" s="6" t="n"/>
      <c r="S42" s="8" t="n"/>
      <c r="T42" s="8" t="n"/>
      <c r="U42" s="8" t="n"/>
      <c r="V42" s="8" t="n"/>
    </row>
    <row r="43">
      <c r="A43" s="5" t="inlineStr">
        <is>
          <t>قالب</t>
        </is>
      </c>
      <c r="B43" s="5" t="inlineStr">
        <is>
          <t>و-09</t>
        </is>
      </c>
      <c r="C43" s="6" t="inlineStr">
        <is>
          <t>بعد «لا»</t>
        </is>
      </c>
      <c r="D43" s="6" t="n"/>
      <c r="E43" s="6" t="n"/>
      <c r="F43" s="6" t="n"/>
      <c r="G43" s="6" t="n"/>
      <c r="H43" s="6" t="n"/>
      <c r="I43" s="6" t="n"/>
      <c r="J43" s="6" t="n"/>
      <c r="K43" s="6" t="inlineStr">
        <is>
          <t>شكراً لإخبارنا. يمكنك إعادة صياغة سؤالك، أو اختيار سؤال من القائمة.</t>
        </is>
      </c>
      <c r="L43" s="6" t="n"/>
      <c r="M43" s="6" t="n"/>
      <c r="N43" s="6" t="n"/>
      <c r="O43" s="6" t="inlineStr">
        <is>
          <t>لا</t>
        </is>
      </c>
      <c r="P43" s="6" t="n"/>
      <c r="Q43" s="6" t="inlineStr">
        <is>
          <t>مراجعة شرعية: لا</t>
        </is>
      </c>
      <c r="R43" s="6" t="n"/>
      <c r="S43" s="8" t="n"/>
      <c r="T43" s="8" t="n"/>
      <c r="U43" s="8" t="n"/>
      <c r="V43" s="8" t="n"/>
    </row>
    <row r="44">
      <c r="A44" s="5" t="inlineStr">
        <is>
          <t>قالب</t>
        </is>
      </c>
      <c r="B44" s="5" t="inlineStr">
        <is>
          <t>و-10</t>
        </is>
      </c>
      <c r="C44" s="6" t="inlineStr">
        <is>
          <t>بعد «نعم»</t>
        </is>
      </c>
      <c r="D44" s="6" t="n"/>
      <c r="E44" s="6" t="n"/>
      <c r="F44" s="6" t="n"/>
      <c r="G44" s="6" t="n"/>
      <c r="H44" s="6" t="n"/>
      <c r="I44" s="6" t="n"/>
      <c r="J44" s="6" t="n"/>
      <c r="K44" s="6" t="inlineStr">
        <is>
          <t>قد يهمك بعدها:</t>
        </is>
      </c>
      <c r="L44" s="6" t="n"/>
      <c r="M44" s="6" t="n"/>
      <c r="N44" s="6" t="n"/>
      <c r="O44" s="6" t="inlineStr">
        <is>
          <t>لا</t>
        </is>
      </c>
      <c r="P44" s="6" t="n"/>
      <c r="Q44" s="6" t="inlineStr">
        <is>
          <t>مراجعة شرعية: لا</t>
        </is>
      </c>
      <c r="R44" s="6" t="n"/>
      <c r="S44" s="8" t="n"/>
      <c r="T44" s="8" t="n"/>
      <c r="U44" s="8" t="n"/>
      <c r="V44" s="8" t="n"/>
    </row>
    <row r="45">
      <c r="A45" s="5" t="inlineStr">
        <is>
          <t>قالب</t>
        </is>
      </c>
      <c r="B45" s="5" t="inlineStr">
        <is>
          <t>و-11</t>
        </is>
      </c>
      <c r="C45" s="6" t="inlineStr">
        <is>
          <t>إدخال فارغ أو غير مفهوم</t>
        </is>
      </c>
      <c r="D45" s="6" t="n"/>
      <c r="E45" s="6" t="n"/>
      <c r="F45" s="6" t="n"/>
      <c r="G45" s="6" t="n"/>
      <c r="H45" s="6" t="n"/>
      <c r="I45" s="6" t="n"/>
      <c r="J45" s="6" t="n"/>
      <c r="K45" s="6" t="inlineStr">
        <is>
          <t>لم نتمكن من قراءة سؤالك. اكتب سؤالاً قصيراً عن القرآن، أو اختر من القائمة.</t>
        </is>
      </c>
      <c r="L45" s="6" t="n"/>
      <c r="M45" s="6" t="n"/>
      <c r="N45" s="6" t="n"/>
      <c r="O45" s="6" t="inlineStr">
        <is>
          <t>لا</t>
        </is>
      </c>
      <c r="P45" s="6" t="n"/>
      <c r="Q45" s="6" t="inlineStr">
        <is>
          <t>مراجعة شرعية: لا</t>
        </is>
      </c>
      <c r="R45" s="6" t="n"/>
      <c r="S45" s="8" t="n"/>
      <c r="T45" s="8" t="n"/>
      <c r="U45" s="8" t="n"/>
      <c r="V45" s="8" t="n"/>
    </row>
    <row r="46">
      <c r="A46" s="5" t="inlineStr">
        <is>
          <t>قالب</t>
        </is>
      </c>
      <c r="B46" s="5" t="inlineStr">
        <is>
          <t>و-12</t>
        </is>
      </c>
      <c r="C46" s="6" t="inlineStr">
        <is>
          <t>ما بقي غير مغطى</t>
        </is>
      </c>
      <c r="D46" s="6" t="n"/>
      <c r="E46" s="6" t="n"/>
      <c r="F46" s="6" t="n"/>
      <c r="G46" s="6" t="n"/>
      <c r="H46" s="6" t="n"/>
      <c r="I46" s="6" t="n"/>
      <c r="J46" s="6" t="n"/>
      <c r="K46" s="6" t="inlineStr">
        <is>
          <t>لم نجد في مواد «دليل» جزءاً آخر يجيب عمّا بقي من سؤالك. نفضّل أن نخبرك بذلك على أن نعرض ما لا يجيب.</t>
        </is>
      </c>
      <c r="L46" s="6" t="n"/>
      <c r="M46" s="6" t="n"/>
      <c r="N46" s="6" t="n"/>
      <c r="O46" s="6" t="inlineStr">
        <is>
          <t>لا</t>
        </is>
      </c>
      <c r="P46" s="6" t="n"/>
      <c r="Q46" s="6" t="inlineStr">
        <is>
          <t>مراجعة شرعية: لا</t>
        </is>
      </c>
      <c r="R46" s="6" t="n"/>
      <c r="S46" s="8" t="n"/>
      <c r="T46" s="8" t="n"/>
      <c r="U46" s="8" t="n"/>
      <c r="V46" s="8" t="n"/>
    </row>
    <row r="47">
      <c r="A47" s="5" t="inlineStr">
        <is>
          <t>قالب</t>
        </is>
      </c>
      <c r="B47" s="5" t="inlineStr">
        <is>
          <t>و-13</t>
        </is>
      </c>
      <c r="C47" s="6" t="inlineStr">
        <is>
          <t>آية مطابقة للمصحف</t>
        </is>
      </c>
      <c r="D47" s="6" t="n"/>
      <c r="E47" s="6" t="n"/>
      <c r="F47" s="6" t="n"/>
      <c r="G47" s="6" t="n"/>
      <c r="H47" s="6" t="n"/>
      <c r="I47" s="6" t="n"/>
      <c r="J47" s="6" t="n"/>
      <c r="K47" s="6" t="inlineStr">
        <is>
          <t>هذا نص الآية كما في المصحف:</t>
        </is>
      </c>
      <c r="L47" s="6" t="n"/>
      <c r="M47" s="6" t="n"/>
      <c r="N47" s="6" t="n"/>
      <c r="O47" s="6" t="inlineStr">
        <is>
          <t>لا</t>
        </is>
      </c>
      <c r="P47" s="6" t="n"/>
      <c r="Q47" s="6" t="inlineStr">
        <is>
          <t>مراجعة شرعية: لا</t>
        </is>
      </c>
      <c r="R47" s="6" t="n"/>
      <c r="S47" s="8" t="n"/>
      <c r="T47" s="8" t="n"/>
      <c r="U47" s="8" t="n"/>
      <c r="V47" s="8" t="n"/>
    </row>
    <row r="48">
      <c r="A48" s="5" t="inlineStr">
        <is>
          <t>قالب</t>
        </is>
      </c>
      <c r="B48" s="5" t="inlineStr">
        <is>
          <t>و-14</t>
        </is>
      </c>
      <c r="C48" s="6" t="inlineStr">
        <is>
          <t>آية مكتوبة بنص مختلف</t>
        </is>
      </c>
      <c r="D48" s="6" t="n"/>
      <c r="E48" s="6" t="n"/>
      <c r="F48" s="6" t="n"/>
      <c r="G48" s="6" t="n"/>
      <c r="H48" s="6" t="n"/>
      <c r="I48" s="6" t="n"/>
      <c r="J48" s="6" t="n"/>
      <c r="K48" s="6" t="inlineStr">
        <is>
          <t>النص الذي كتبته يختلف عن نص المصحف. هذا نص الآية كما في المصحف:</t>
        </is>
      </c>
      <c r="L48" s="6" t="n"/>
      <c r="M48" s="6" t="n"/>
      <c r="N48" s="6" t="n"/>
      <c r="O48" s="6" t="inlineStr">
        <is>
          <t>لا</t>
        </is>
      </c>
      <c r="P48" s="6" t="n"/>
      <c r="Q48" s="6" t="inlineStr">
        <is>
          <t>مراجعة شرعية: نعم</t>
        </is>
      </c>
      <c r="R48" s="6" t="n"/>
      <c r="S48" s="8" t="n"/>
      <c r="T48" s="8" t="n"/>
      <c r="U48" s="8" t="n"/>
      <c r="V48" s="8" t="n"/>
    </row>
    <row r="49">
      <c r="A49" s="5" t="inlineStr">
        <is>
          <t>قالب</t>
        </is>
      </c>
      <c r="B49" s="5" t="inlineStr">
        <is>
          <t>و-15</t>
        </is>
      </c>
      <c r="C49" s="6" t="inlineStr">
        <is>
          <t>أسفل كل مقطع</t>
        </is>
      </c>
      <c r="D49" s="6" t="n"/>
      <c r="E49" s="6" t="n"/>
      <c r="F49" s="6" t="n"/>
      <c r="G49" s="6" t="n"/>
      <c r="H49" s="6" t="n"/>
      <c r="I49" s="6" t="n"/>
      <c r="J49" s="6" t="n"/>
      <c r="K49" s="6" t="inlineStr">
        <is>
          <t>لا يتجاوز «دليل» هذا النص المقتبس، ولا يضيف إليه شرحاً من عنده.</t>
        </is>
      </c>
      <c r="L49" s="6" t="n"/>
      <c r="M49" s="6" t="n"/>
      <c r="N49" s="6" t="n"/>
      <c r="O49" s="6" t="inlineStr">
        <is>
          <t>لا</t>
        </is>
      </c>
      <c r="P49" s="6" t="n"/>
      <c r="Q49" s="6" t="inlineStr">
        <is>
          <t>مراجعة شرعية: لا</t>
        </is>
      </c>
      <c r="R49" s="6" t="n"/>
      <c r="S49" s="8" t="n"/>
      <c r="T49" s="8" t="n"/>
      <c r="U49" s="8" t="n"/>
      <c r="V49" s="8" t="n"/>
    </row>
    <row r="50" ht="34" customHeight="1">
      <c r="A50" s="5" t="inlineStr">
        <is>
          <t>قالب</t>
        </is>
      </c>
      <c r="B50" s="5" t="inlineStr">
        <is>
          <t>ام-11</t>
        </is>
      </c>
      <c r="C50" s="6" t="inlineStr">
        <is>
          <t>زر تحت الامتناع عن تفسير آية بعينها، أو تحت آية كتبها المستخدم</t>
        </is>
      </c>
      <c r="D50" s="6" t="n"/>
      <c r="E50" s="6" t="n"/>
      <c r="F50" s="6" t="n"/>
      <c r="G50" s="6" t="n"/>
      <c r="H50" s="6" t="n"/>
      <c r="I50" s="6" t="n"/>
      <c r="J50" s="6" t="n"/>
      <c r="K50" s="6" t="inlineStr">
        <is>
          <t>اقرأ معنى {الموضع} في «التفسير الميسر» (مجمع الملك فهد) على منصة القرآن الكريم</t>
        </is>
      </c>
      <c r="L50" s="6" t="n"/>
      <c r="M50" s="6" t="n"/>
      <c r="N50" s="6" t="n"/>
      <c r="O50" s="6" t="n"/>
      <c r="P50" s="6" t="n"/>
      <c r="Q50" s="6" t="inlineStr">
        <is>
          <t>يُحيل إلى صفحة التفسير الميسر للآية على quran.com ولا يعرض تفسيراً داخل «دليل». مراجعة شرعية: نعم (اختيار التفسير المُحال إليه).</t>
        </is>
      </c>
      <c r="R50" s="6" t="n"/>
      <c r="S50" s="6" t="n"/>
      <c r="T50" s="6" t="n"/>
      <c r="U50" s="6" t="n"/>
      <c r="V50" s="6" t="n"/>
      <c r="W50" s="6" t="n"/>
    </row>
    <row r="51" ht="34" customHeight="1">
      <c r="A51" s="5" t="inlineStr">
        <is>
          <t>قالب</t>
        </is>
      </c>
      <c r="B51" s="5" t="inlineStr">
        <is>
          <t>ام-12</t>
        </is>
      </c>
      <c r="C51" s="6" t="inlineStr">
        <is>
          <t>سؤال لا علاقة له بالدين (طبخ، رياضة، معلومات عامة)</t>
        </is>
      </c>
      <c r="D51" s="6" t="n"/>
      <c r="E51" s="6" t="n"/>
      <c r="F51" s="6" t="n"/>
      <c r="G51" s="6" t="n"/>
      <c r="H51" s="6" t="n"/>
      <c r="I51" s="6" t="n"/>
      <c r="J51" s="6" t="n"/>
      <c r="K51" s="6" t="inlineStr">
        <is>
          <t>«دليل» مختص بالأسئلة عن القرآن الكريم، وسؤالك خارج هذا المجال. جرّب أن تسأل عن القرآن، أو اختر من الأسئلة أدناه.</t>
        </is>
      </c>
      <c r="L51" s="6" t="n"/>
      <c r="M51" s="6" t="n"/>
      <c r="N51" s="6" t="n"/>
      <c r="O51" s="6" t="n"/>
      <c r="P51" s="6" t="n"/>
      <c r="Q51" s="6" t="inlineStr">
        <is>
          <t>بديل عن ام-01 للأسئلة غير الدينية، حتى لا يُحال سؤال الطبخ إلى مرجع شرعي. مراجعة شرعية: لا.</t>
        </is>
      </c>
      <c r="R51" s="6" t="n"/>
      <c r="S51" s="6" t="n"/>
      <c r="T51" s="6" t="n"/>
      <c r="U51" s="6" t="n"/>
      <c r="V51" s="6" t="n"/>
      <c r="W51" s="6" t="n"/>
    </row>
    <row r="52" ht="34" customHeight="1">
      <c r="A52" s="5" t="inlineStr">
        <is>
          <t>قالب</t>
        </is>
      </c>
      <c r="B52" s="5" t="inlineStr">
        <is>
          <t>ام-13</t>
        </is>
      </c>
      <c r="C52" s="6" t="inlineStr">
        <is>
          <t>تعطّل خدمة الفهم مع عرض نتيجة بالبحث المباشر</t>
        </is>
      </c>
      <c r="D52" s="6" t="n"/>
      <c r="E52" s="6" t="n"/>
      <c r="F52" s="6" t="n"/>
      <c r="G52" s="6" t="n"/>
      <c r="H52" s="6" t="n"/>
      <c r="I52" s="6" t="n"/>
      <c r="J52" s="6" t="n"/>
      <c r="K52" s="6" t="inlineStr">
        <is>
          <t>خدمة فهم الأسئلة متوقفة مؤقتاً، فعرضنا أقرب نص بالبحث المباشر، وقد يكون أقل دقة.</t>
        </is>
      </c>
      <c r="L52" s="6" t="n"/>
      <c r="M52" s="6" t="n"/>
      <c r="N52" s="6" t="n"/>
      <c r="O52" s="6" t="n"/>
      <c r="P52" s="6" t="n"/>
      <c r="Q52" s="6" t="inlineStr">
        <is>
          <t>يحل محل ام-10 حين تُعرض نتيجة، حتى لا يظهر «اختر من القائمة» فوق إجابة (ملاحظة اللجنة). مراجعة شرعية: لا.</t>
        </is>
      </c>
      <c r="R52" s="6" t="n"/>
      <c r="S52" s="6" t="n"/>
      <c r="T52" s="6" t="n"/>
      <c r="U52" s="6" t="n"/>
      <c r="V52" s="6" t="n"/>
      <c r="W52" s="6" t="n"/>
      <c r="X52" s="6" t="n"/>
    </row>
  </sheetData>
  <autoFilter ref="A1:V49"/>
  <conditionalFormatting sqref="O2:O300">
    <cfRule type="expression" priority="1" dxfId="1">
      <formula>$O2="نعم"</formula>
    </cfRule>
    <cfRule type="expression" priority="2" dxfId="1">
      <formula>$O2="نعم"</formula>
    </cfRule>
  </conditionalFormatting>
  <dataValidations count="5">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 sqref="W2:W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U16"/>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7" customWidth="1" min="4" max="4"/>
    <col width="26" customWidth="1" min="5" max="5"/>
    <col width="28" customWidth="1" min="6" max="6"/>
    <col width="36" customWidth="1" min="7" max="7"/>
    <col width="28" customWidth="1" min="8" max="8"/>
    <col width="32" customWidth="1" min="9" max="9"/>
    <col width="80" customWidth="1" min="10" max="10"/>
    <col width="34" customWidth="1" min="11" max="11"/>
    <col width="34" customWidth="1" min="12" max="12"/>
    <col width="7" customWidth="1" min="13" max="13"/>
    <col width="7" customWidth="1" min="14" max="14"/>
    <col width="30" customWidth="1" min="15" max="15"/>
    <col width="18" customWidth="1" min="16" max="16"/>
    <col width="14" customWidth="1" min="17" max="17"/>
    <col width="40" customWidth="1" min="18" max="18"/>
    <col width="16" customWidth="1" min="19" max="19"/>
    <col width="10" customWidth="1" min="20" max="20"/>
    <col width="34" customWidth="1" min="21" max="21"/>
  </cols>
  <sheetData>
    <row r="1" ht="34" customHeight="1">
      <c r="A1" s="4" t="inlineStr">
        <is>
          <t>رقم</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النص المعتمد</t>
        </is>
      </c>
      <c r="K1" s="4" t="inlineStr">
        <is>
          <t>يجيب هذا المقطع عن</t>
        </is>
      </c>
      <c r="L1" s="4" t="inlineStr">
        <is>
          <t>صياغات المستخدم</t>
        </is>
      </c>
      <c r="M1" s="4" t="inlineStr">
        <is>
          <t>المستوى</t>
        </is>
      </c>
      <c r="N1" s="4" t="inlineStr">
        <is>
          <t>حساس؟</t>
        </is>
      </c>
      <c r="O1" s="4" t="inlineStr">
        <is>
          <t>آيات وأحاديث (توثيق)</t>
        </is>
      </c>
      <c r="P1" s="4" t="inlineStr">
        <is>
          <t>اعتمده (المراجع والتاريخ)</t>
        </is>
      </c>
      <c r="Q1" s="4" t="inlineStr">
        <is>
          <t>رأي المختص الأعلم</t>
        </is>
      </c>
      <c r="R1" s="4" t="inlineStr">
        <is>
          <t>ملاحظات الاعتماد</t>
        </is>
      </c>
      <c r="S1" s="4" t="inlineStr">
        <is>
          <t>صالح للنشر</t>
        </is>
      </c>
      <c r="T1" s="4" t="inlineStr">
        <is>
          <t>لا يُجتزأ</t>
        </is>
      </c>
      <c r="U1" s="4" t="inlineStr">
        <is>
          <t>أسئلة قريبة لا يجيب عنها</t>
        </is>
      </c>
    </row>
    <row r="2" ht="150" customHeight="1">
      <c r="A2" s="5" t="inlineStr">
        <is>
          <t>ق-32</t>
        </is>
      </c>
      <c r="B2" s="5" t="inlineStr">
        <is>
          <t>ح1</t>
        </is>
      </c>
      <c r="C2" s="6" t="inlineStr">
        <is>
          <t>إضافي</t>
        </is>
      </c>
      <c r="D2" s="6" t="inlineStr">
        <is>
          <t>م-01</t>
        </is>
      </c>
      <c r="E2" s="6" t="inlineStr">
        <is>
          <t>المسألة (119)، ص545–ص546 — مختصر الإجابة</t>
        </is>
      </c>
      <c r="F2" s="6" t="inlineStr">
        <is>
          <t>هل القرآن الكريم يغني عن السنة النبوية؟</t>
        </is>
      </c>
      <c r="G2" s="6"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2" s="6" t="inlineStr">
        <is>
          <t>هل صحيح أن الدين يؤخذ من القرآن، وأما السنة النبوية، فاجتهادات شخصية؟</t>
        </is>
      </c>
      <c r="I2" s="6"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2"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2" s="6" t="inlineStr">
        <is>
          <t>يبين أن السنة النبوية حجة، وأنها مصدر لتبيين معاني القرآن لا يُستغنى عنه.</t>
        </is>
      </c>
      <c r="L2" s="6" t="inlineStr">
        <is>
          <t>هل نكتفي بالقرآن عن السنة؟ | لماذا لا يكفي القرآن وحده؟ | هل السنة ضرورية لفهم القرآن؟</t>
        </is>
      </c>
      <c r="M2" s="6" t="inlineStr">
        <is>
          <t>ب</t>
        </is>
      </c>
      <c r="N2" s="6" t="inlineStr">
        <is>
          <t>نعم</t>
        </is>
      </c>
      <c r="O2" s="6" t="inlineStr">
        <is>
          <t>لا يوجد في المختصر (آيتان في نص السؤال); آية في السؤال المصدري</t>
        </is>
      </c>
      <c r="P2" s="6" t="inlineStr">
        <is>
          <t>محمد — 2026-10-04</t>
        </is>
      </c>
      <c r="Q2" s="6" t="inlineStr">
        <is>
          <t>موافق</t>
        </is>
      </c>
      <c r="R2"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2" s="7">
        <f>IF(A2="","",IF(OR(M2="ج",M2="د"),"المستوى لا يُنشر",IF(IFERROR(INDEX(المصادر!$F$2:$F$30,MATCH(D2,المصادر!$A$2:$A$30,0)),"")&lt;&gt;"نعم","المصدر غير معتمد",IF(OR(B2="",E2="",J2="",K2="",P2=""),"بيانات ناقصة",IF(AND(N2="نعم",Q2&lt;&gt;"موافق"),"ينقصه رأي المختص","صالح للنشر")))))</f>
        <v/>
      </c>
      <c r="T2" t="inlineStr">
        <is>
          <t>نعم</t>
        </is>
      </c>
      <c r="U2" s="7" t="inlineStr">
        <is>
          <t>ما علاقة القرآن بالكتب السابقة؟ | ما تعريف القرآن؟ | ما مكانة القرآن عند المسلمين؟ | ما علاقة الحديث بالقرآن؟ | ما الفرق بين القرآن والحديث؟</t>
        </is>
      </c>
    </row>
    <row r="3" ht="150" customHeight="1">
      <c r="A3" s="5" t="inlineStr">
        <is>
          <t>ق-29</t>
        </is>
      </c>
      <c r="B3" s="5" t="inlineStr">
        <is>
          <t>ح2</t>
        </is>
      </c>
      <c r="C3" s="6" t="inlineStr">
        <is>
          <t>إضافي</t>
        </is>
      </c>
      <c r="D3" s="6" t="inlineStr">
        <is>
          <t>م-01</t>
        </is>
      </c>
      <c r="E3" s="6" t="inlineStr">
        <is>
          <t>المسألة (40)، ص192–ص192 — مختصر الإجابة</t>
        </is>
      </c>
      <c r="F3" s="6" t="inlineStr">
        <is>
          <t>اختلاف أسلوب القرآن المكي والمدني.</t>
        </is>
      </c>
      <c r="G3" s="6" t="inlineStr">
        <is>
          <t>تغير أسلوب القرآن المدني عن القرآن المكي من الشدة إلى اللين، يدل على تأثره بالبيئة؛ وهذا يدل على أنه من فعل البشر.</t>
        </is>
      </c>
      <c r="H3" s="6" t="inlineStr">
        <is>
          <t>هل تأثر أسلوب القرآن بالبيئة التي نزل فيها؟</t>
        </is>
      </c>
      <c r="I3" s="6" t="inlineStr">
        <is>
          <t>—</t>
        </is>
      </c>
      <c r="J3"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3" s="6" t="inlineStr">
        <is>
          <t>يبين أن القرآن المكي والمدني كليهما فيه اللين والشدة، وأن الخطاب يراعي حال المخاطبين.</t>
        </is>
      </c>
      <c r="L3" s="6" t="inlineStr">
        <is>
          <t>هل القرآن المكي كله شدة والمدني كله لين؟ | لماذا يشتد خطاب القرآن أحياناً ويلين أحياناً؟</t>
        </is>
      </c>
      <c r="M3" s="6" t="inlineStr">
        <is>
          <t>ب</t>
        </is>
      </c>
      <c r="N3" s="6" t="inlineStr">
        <is>
          <t>لا</t>
        </is>
      </c>
      <c r="O3" s="6" t="inlineStr">
        <is>
          <t>لا يوجد في المختصر</t>
        </is>
      </c>
      <c r="P3" s="6" t="inlineStr">
        <is>
          <t>محمد — 2026-10-04</t>
        </is>
      </c>
      <c r="Q3" s="6" t="inlineStr"/>
      <c r="R3" s="6" t="inlineStr">
        <is>
          <t>مراجعة النقل: مطابق دون ملاحظات. [5 أكتوبر] عُدّلت بيانات التوجيه بعد مراجعة اللجنة الخارجية؛ النص المعتمد لم يتغير.</t>
        </is>
      </c>
      <c r="S3" s="7">
        <f>IF(A3="","",IF(OR(M3="ج",M3="د"),"المستوى لا يُنشر",IF(IFERROR(INDEX(المصادر!$F$2:$F$30,MATCH(D3,المصادر!$A$2:$A$30,0)),"")&lt;&gt;"نعم","المصدر غير معتمد",IF(OR(B3="",E3="",J3="",K3="",P3=""),"بيانات ناقصة",IF(AND(N3="نعم",Q3&lt;&gt;"موافق"),"ينقصه رأي المختص","صالح للنشر")))))</f>
        <v/>
      </c>
      <c r="U3" s="7" t="inlineStr">
        <is>
          <t>كيف نزل القرآن؟ | في أي شهر نزل القرآن؟ | ما معنى سورة مكية؟ | ما الفرق بين أسلوب السور المكية والمدنية؟</t>
        </is>
      </c>
    </row>
    <row r="4" ht="150" customHeight="1">
      <c r="A4" s="5" t="inlineStr">
        <is>
          <t>ق-30</t>
        </is>
      </c>
      <c r="B4" s="5" t="inlineStr">
        <is>
          <t>ح2</t>
        </is>
      </c>
      <c r="C4" s="6" t="inlineStr">
        <is>
          <t>إضافي</t>
        </is>
      </c>
      <c r="D4" s="6" t="inlineStr">
        <is>
          <t>م-01</t>
        </is>
      </c>
      <c r="E4" s="6" t="inlineStr">
        <is>
          <t>المسألة (103)، ص472–ص473 — مختصر الإجابة</t>
        </is>
      </c>
      <c r="F4" s="6" t="inlineStr">
        <is>
          <t>لماذا يكون الوحي بطرق خفية، ولا يأتي جبريل بصورته الحقيقية مبلغا الناس ما يريده؟</t>
        </is>
      </c>
      <c r="G4" s="6"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4" s="6" t="inlineStr">
        <is>
          <t>هل الوحي يجب أن يأتي به الملك بصورته الحقيقية؟</t>
        </is>
      </c>
      <c r="I4" s="6" t="inlineStr">
        <is>
          <t>إن إرسال جبريل في صورته الحقيقية، مبلغا الرسول بصوت واضح ما يريده، هو الأمر الأولى في صور الوحي من وجهة نظر السائل، دون الطرق الخفية.</t>
        </is>
      </c>
      <c r="J4"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4" s="6" t="inlineStr">
        <is>
          <t>يبين أن المطلوب هو التصديق بالنبوة بأدلتها، لا معرفة كيفية مجيء الوحي، وأن خفاء الطريقة من حكمة الابتلاء.</t>
        </is>
      </c>
      <c r="L4" s="6" t="inlineStr">
        <is>
          <t>لماذا لم ير الناس جبريل؟ | لماذا كان الوحي خفيا؟</t>
        </is>
      </c>
      <c r="M4" s="6" t="inlineStr">
        <is>
          <t>ب</t>
        </is>
      </c>
      <c r="N4" s="6" t="inlineStr">
        <is>
          <t>نعم</t>
        </is>
      </c>
      <c r="O4" s="6" t="inlineStr">
        <is>
          <t>—</t>
        </is>
      </c>
      <c r="P4" s="6" t="inlineStr">
        <is>
          <t>محمد — 2026-10-04</t>
        </is>
      </c>
      <c r="Q4" s="6" t="inlineStr">
        <is>
          <t>موافق</t>
        </is>
      </c>
      <c r="R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4" s="7">
        <f>IF(A4="","",IF(OR(M4="ج",M4="د"),"المستوى لا يُنشر",IF(IFERROR(INDEX(المصادر!$F$2:$F$30,MATCH(D4,المصادر!$A$2:$A$30,0)),"")&lt;&gt;"نعم","المصدر غير معتمد",IF(OR(B4="",E4="",J4="",K4="",P4=""),"بيانات ناقصة",IF(AND(N4="نعم",Q4&lt;&gt;"موافق"),"ينقصه رأي المختص","صالح للنشر")))))</f>
        <v/>
      </c>
      <c r="T4" t="inlineStr">
        <is>
          <t>نعم</t>
        </is>
      </c>
      <c r="U4" s="7" t="inlineStr">
        <is>
          <t>كيف كان الوحي يأتي النبي؟ | متى بدأ نزول الوحي؟</t>
        </is>
      </c>
    </row>
    <row r="5" ht="150" customHeight="1">
      <c r="A5" s="5" t="inlineStr">
        <is>
          <t>ق-11</t>
        </is>
      </c>
      <c r="B5" s="5" t="inlineStr">
        <is>
          <t>ح3</t>
        </is>
      </c>
      <c r="C5" s="6" t="inlineStr">
        <is>
          <t>أساسي</t>
        </is>
      </c>
      <c r="D5" s="6" t="inlineStr">
        <is>
          <t>م-01</t>
        </is>
      </c>
      <c r="E5" s="6" t="inlineStr">
        <is>
          <t>المسألة (42)، ص201–ص201 — الجواب التفصيلي</t>
        </is>
      </c>
      <c r="F5" s="6" t="inlineStr">
        <is>
          <t>ادعاء أن القرآن لم يدون كله ولم يجمع في عهد النبي ﷺ.</t>
        </is>
      </c>
      <c r="G5" s="6" t="inlineStr">
        <is>
          <t>لم يجمع القرآن كتابة في عهد النبي، وقد وقع التحريف والتبديل حين جمعه الصحابة؛ والدليل اختلافهم في بعض الآيات.</t>
        </is>
      </c>
      <c r="H5" s="6" t="inlineStr">
        <is>
          <t>جمع القرآن. | تدوين القرآن الكريم.</t>
        </is>
      </c>
      <c r="I5" s="6" t="inlineStr">
        <is>
          <t>عن تدوين القرآن وجمعه، هل تم كل ذلك في عهد النبي ﷺ، فإذا لم يحصل، كان هذا دليلا على إمكانية وقوع التحريف فيه.</t>
        </is>
      </c>
      <c r="J5"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5" s="6" t="inlineStr">
        <is>
          <t>يعدد الطرق التي حُفظ بها القرآن زمن النبي ﷺ: الحفظ في صدور الصحابة، والتدوين فور النزول، ومعارضة جبريل له كل عام، وعدالة كتبته.</t>
        </is>
      </c>
      <c r="L5" s="6" t="inlineStr">
        <is>
          <t>كيف حُفظ القرآن زمن النبي؟ | هل كان الصحابة يحفظون القرآن؟ | كيف دُوّن القرآن في حياة النبي؟</t>
        </is>
      </c>
      <c r="M5" s="6" t="inlineStr">
        <is>
          <t>أ</t>
        </is>
      </c>
      <c r="N5" s="6" t="inlineStr">
        <is>
          <t>لا</t>
        </is>
      </c>
      <c r="O5" s="6" t="inlineStr">
        <is>
          <t>البند 3 يشير إلى حديث معارضة جبريل للنبي ﷺ (البخاري) دون نصه — يُوثَّق من الدرر</t>
        </is>
      </c>
      <c r="P5" s="6" t="inlineStr">
        <is>
          <t>محمد — 2026-10-04</t>
        </is>
      </c>
      <c r="Q5" s="6" t="inlineStr"/>
      <c r="R5" s="6"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S5" s="7">
        <f>IF(A5="","",IF(OR(M5="ج",M5="د"),"المستوى لا يُنشر",IF(IFERROR(INDEX(المصادر!$F$2:$F$30,MATCH(D5,المصادر!$A$2:$A$30,0)),"")&lt;&gt;"نعم","المصدر غير معتمد",IF(OR(B5="",E5="",J5="",K5="",P5=""),"بيانات ناقصة",IF(AND(N5="نعم",Q5&lt;&gt;"موافق"),"ينقصه رأي المختص","صالح للنشر")))))</f>
        <v/>
      </c>
      <c r="U5" s="7" t="inlineStr">
        <is>
          <t>في أي شهر نزل القرآن؟ | هل نزل القرآن مفرقاً؟ | متى جُمع القرآن في مصحف واحد؟ | من كان يكتب الوحي؟</t>
        </is>
      </c>
    </row>
    <row r="6" ht="150" customHeight="1">
      <c r="A6" s="5" t="inlineStr">
        <is>
          <t>ق-12</t>
        </is>
      </c>
      <c r="B6" s="5" t="inlineStr">
        <is>
          <t>ح3</t>
        </is>
      </c>
      <c r="C6" s="6" t="inlineStr">
        <is>
          <t>أساسي</t>
        </is>
      </c>
      <c r="D6" s="6" t="inlineStr">
        <is>
          <t>م-01</t>
        </is>
      </c>
      <c r="E6" s="6" t="inlineStr">
        <is>
          <t>المسألة (42)، ص200–ص201 — مختصر الإجابة</t>
        </is>
      </c>
      <c r="F6" s="6" t="inlineStr">
        <is>
          <t>ادعاء أن القرآن لم يدون كله ولم يجمع في عهد النبي ﷺ.</t>
        </is>
      </c>
      <c r="G6" s="6" t="inlineStr">
        <is>
          <t>لم يجمع القرآن كتابة في عهد النبي، وقد وقع التحريف والتبديل حين جمعه الصحابة؛ والدليل اختلافهم في بعض الآيات.</t>
        </is>
      </c>
      <c r="H6" s="6" t="inlineStr">
        <is>
          <t>جمع القرآن. | تدوين القرآن الكريم.</t>
        </is>
      </c>
      <c r="I6" s="6" t="inlineStr">
        <is>
          <t>عن تدوين القرآن وجمعه، هل تم كل ذلك في عهد النبي ﷺ، فإذا لم يحصل، كان هذا دليلا على إمكانية وقوع التحريف فيه.</t>
        </is>
      </c>
      <c r="J6"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6" s="6" t="inlineStr">
        <is>
          <t>يبين أن القرآن كُتب ثلاث مرات: في حياة النبي ﷺ في صحف متفرقة، ثم في عهد أبي بكر، ثم جُمع في مصحف واحد في عهد عثمان رضي الله عنهما.</t>
        </is>
      </c>
      <c r="L6" s="6" t="inlineStr">
        <is>
          <t>كيف جُمع القرآن؟ | لماذا لم يُجمع القرآن في كتاب واحد زمن النبي؟ | متى كُتب القرآن؟</t>
        </is>
      </c>
      <c r="M6" s="6" t="inlineStr">
        <is>
          <t>أ</t>
        </is>
      </c>
      <c r="N6" s="6" t="inlineStr">
        <is>
          <t>لا</t>
        </is>
      </c>
      <c r="O6" s="6" t="inlineStr">
        <is>
          <t>—</t>
        </is>
      </c>
      <c r="P6" s="6" t="inlineStr">
        <is>
          <t>محمد — 2026-10-04</t>
        </is>
      </c>
      <c r="Q6" s="6" t="inlineStr"/>
      <c r="R6" s="6" t="inlineStr">
        <is>
          <t>مراجعة النقل: مطابق دون ملاحظات.</t>
        </is>
      </c>
      <c r="S6" s="7">
        <f>IF(A6="","",IF(OR(M6="ج",M6="د"),"المستوى لا يُنشر",IF(IFERROR(INDEX(المصادر!$F$2:$F$30,MATCH(D6,المصادر!$A$2:$A$30,0)),"")&lt;&gt;"نعم","المصدر غير معتمد",IF(OR(B6="",E6="",J6="",K6="",P6=""),"بيانات ناقصة",IF(AND(N6="نعم",Q6&lt;&gt;"موافق"),"ينقصه رأي المختص","صالح للنشر")))))</f>
        <v/>
      </c>
      <c r="U6" s="7" t="inlineStr">
        <is>
          <t>كيف كان الوحي ينزل على النبي؟ | كم عدد الحفاظ من الصحابة؟</t>
        </is>
      </c>
    </row>
    <row r="7" ht="150" customHeight="1">
      <c r="A7" s="5" t="inlineStr">
        <is>
          <t>ق-13</t>
        </is>
      </c>
      <c r="B7" s="5" t="inlineStr">
        <is>
          <t>ح3</t>
        </is>
      </c>
      <c r="C7" s="6" t="inlineStr">
        <is>
          <t>إضافي</t>
        </is>
      </c>
      <c r="D7" s="6" t="inlineStr">
        <is>
          <t>م-01</t>
        </is>
      </c>
      <c r="E7" s="6" t="inlineStr">
        <is>
          <t>المسألة (48)، ص225–ص226 — مختصر الإجابة</t>
        </is>
      </c>
      <c r="F7" s="6" t="inlineStr">
        <is>
          <t>هل ضاع شيء من القرآن الذي سمعه الصحابة من النبي ﷺ؛ بسبب جمع عثمان للقرآن؟</t>
        </is>
      </c>
      <c r="G7" s="6" t="inlineStr">
        <is>
          <t>هل ضاع شيء من القرآن الذي سمعه الصحابة من النبي ﷺ؛ بسبب جمع عثمان للقرآن؟</t>
        </is>
      </c>
      <c r="H7" s="6" t="inlineStr">
        <is>
          <t>ألم يكن في إلزام عثمان للصحابة بمصحف واحد، وترك ما بأيديهم، ترك لما سمعوه من النبي على أنه قرآن؟</t>
        </is>
      </c>
      <c r="I7" s="6" t="inlineStr">
        <is>
          <t>—</t>
        </is>
      </c>
      <c r="J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7" s="6" t="inlineStr">
        <is>
          <t>يوضح أن جمع عثمان رضي الله عنه للناس على مصحف واحد كان باتفاق الصحابة لمنع الاختلاف، ويذكر ضوابط ذلك الجمع.</t>
        </is>
      </c>
      <c r="L7" s="6" t="inlineStr">
        <is>
          <t>لماذا جمع عثمان القرآن؟ | هل ضاع شيء من القرآن بجمع عثمان؟ | لماذا جمع عثمان الناس على مصحف واحد؟</t>
        </is>
      </c>
      <c r="M7" s="6" t="inlineStr">
        <is>
          <t>ب</t>
        </is>
      </c>
      <c r="N7" s="6" t="inlineStr">
        <is>
          <t>نعم</t>
        </is>
      </c>
      <c r="O7" s="6" t="inlineStr">
        <is>
          <t>—</t>
        </is>
      </c>
      <c r="P7" s="6" t="inlineStr">
        <is>
          <t>محمد — 2026-10-04</t>
        </is>
      </c>
      <c r="Q7" s="6" t="inlineStr">
        <is>
          <t>موافق</t>
        </is>
      </c>
      <c r="R7" s="6"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S7" s="7">
        <f>IF(A7="","",IF(OR(M7="ج",M7="د"),"المستوى لا يُنشر",IF(IFERROR(INDEX(المصادر!$F$2:$F$30,MATCH(D7,المصادر!$A$2:$A$30,0)),"")&lt;&gt;"نعم","المصدر غير معتمد",IF(OR(B7="",E7="",J7="",K7="",P7=""),"بيانات ناقصة",IF(AND(N7="نعم",Q7&lt;&gt;"موافق"),"ينقصه رأي المختص","صالح للنشر")))))</f>
        <v/>
      </c>
      <c r="T7" t="inlineStr">
        <is>
          <t>نعم</t>
        </is>
      </c>
      <c r="U7" s="7" t="inlineStr">
        <is>
          <t>كيف كُتب القرآن زمن النبي؟ | ما القراءات؟ | ما الفرق بين جمع أبي بكر وجمع عثمان؟</t>
        </is>
      </c>
    </row>
    <row r="8" ht="150" customHeight="1">
      <c r="A8" s="5" t="inlineStr">
        <is>
          <t>ق-14</t>
        </is>
      </c>
      <c r="B8" s="5" t="inlineStr">
        <is>
          <t>ح3</t>
        </is>
      </c>
      <c r="C8" s="6" t="inlineStr">
        <is>
          <t>إضافي</t>
        </is>
      </c>
      <c r="D8" s="6" t="inlineStr">
        <is>
          <t>م-01</t>
        </is>
      </c>
      <c r="E8" s="6" t="inlineStr">
        <is>
          <t>المسألة (43)، ص204–ص205 — مختصر الإجابة</t>
        </is>
      </c>
      <c r="F8" s="6" t="inlineStr">
        <is>
          <t>ادعاء أن نقل الصحابة للقرآن نقل آحادي لا متواتر.</t>
        </is>
      </c>
      <c r="G8" s="6"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8" s="6" t="inlineStr">
        <is>
          <t>هل ثبت أن القرآن متواتر؟ | كم عدد الصحابة الذين نقلوا القرآن؟</t>
        </is>
      </c>
      <c r="I8" s="6" t="inlineStr">
        <is>
          <t>يدور السؤال حول نقل الصحابة للقرآن الكريم، وهل تحقق وفق شروط التواتر؛ لوجود مرويات حددت أعدادا محدودة من الصحابة يؤخذ عنهم القرآن؟</t>
        </is>
      </c>
      <c r="J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8" s="6" t="inlineStr">
        <is>
          <t>يبين أن حفظة القرآن من الصحابة كانوا كثيرين، وأن الروايات التي تذكر عددا قليلا لا يُقصد بها الحصر.</t>
        </is>
      </c>
      <c r="L8" s="6" t="inlineStr">
        <is>
          <t>كم عدد الصحابة الذين حفظوا القرآن؟ | هل نُقل القرآن عن عدد قليل؟ | كيف وصل القرآن إلينا؟</t>
        </is>
      </c>
      <c r="M8" s="6" t="inlineStr">
        <is>
          <t>ب</t>
        </is>
      </c>
      <c r="N8" s="6" t="inlineStr">
        <is>
          <t>نعم</t>
        </is>
      </c>
      <c r="O8" s="6" t="inlineStr">
        <is>
          <t>يشير إلى روايات الحصر (حديث أنس في الصحيحين، مذكور في السؤال لا في المقطع); حديث أنس في السؤال المصدري</t>
        </is>
      </c>
      <c r="P8" s="6" t="inlineStr">
        <is>
          <t>محمد — 2026-10-04</t>
        </is>
      </c>
      <c r="Q8" s="6" t="inlineStr">
        <is>
          <t>موافق</t>
        </is>
      </c>
      <c r="R8"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8" s="7">
        <f>IF(A8="","",IF(OR(M8="ج",M8="د"),"المستوى لا يُنشر",IF(IFERROR(INDEX(المصادر!$F$2:$F$30,MATCH(D8,المصادر!$A$2:$A$30,0)),"")&lt;&gt;"نعم","المصدر غير معتمد",IF(OR(B8="",E8="",J8="",K8="",P8=""),"بيانات ناقصة",IF(AND(N8="نعم",Q8&lt;&gt;"موافق"),"ينقصه رأي المختص","صالح للنشر")))))</f>
        <v/>
      </c>
      <c r="T8" t="inlineStr">
        <is>
          <t>نعم</t>
        </is>
      </c>
      <c r="U8" s="7" t="inlineStr">
        <is>
          <t>كيف جمع عثمان القرآن؟ | كيف أحفظ القرآن؟</t>
        </is>
      </c>
    </row>
    <row r="9" ht="150" customHeight="1">
      <c r="A9" s="5" t="inlineStr">
        <is>
          <t>ق-17</t>
        </is>
      </c>
      <c r="B9" s="5" t="inlineStr">
        <is>
          <t>ح4</t>
        </is>
      </c>
      <c r="C9" s="6" t="inlineStr">
        <is>
          <t>أساسي</t>
        </is>
      </c>
      <c r="D9" s="6" t="inlineStr">
        <is>
          <t>م-01</t>
        </is>
      </c>
      <c r="E9" s="6" t="inlineStr">
        <is>
          <t>المسألة (54)، ص249–ص250 — مختصر الإجابة</t>
        </is>
      </c>
      <c r="F9" s="6" t="inlineStr">
        <is>
          <t>ادعاء أن ترتيب آيات القرآن من فعل الصحابة.</t>
        </is>
      </c>
      <c r="G9" s="6" t="inlineStr">
        <is>
          <t>ما دام الصحابة قد رتبوا آيات القرآن؛ فهذا دليل على تحريفهم لآيات القرآن؛ كما يمكن بسبب ذلك وقوع الأخطاء فيه، والإدخال عليه.</t>
        </is>
      </c>
      <c r="H9" s="6" t="inlineStr">
        <is>
          <t>ترتيب آيات القرآن. | ترتيب الصحابة للمصحف.</t>
        </is>
      </c>
      <c r="I9" s="6"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9"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9" s="6" t="inlineStr">
        <is>
          <t>يبين أن ترتيب الآيات داخل كل سورة من الوحي، ويذكر خلاف العلماء في ترتيب السور وأن الجمهور على أنه توقيفي.</t>
        </is>
      </c>
      <c r="L9" s="6" t="inlineStr">
        <is>
          <t>من رتّب سور القرآن؟ | لماذا ترتيب المصحف ليس بحسب النزول؟ | هل ترتيب الآيات من الصحابة؟</t>
        </is>
      </c>
      <c r="M9" s="6" t="inlineStr">
        <is>
          <t>ب</t>
        </is>
      </c>
      <c r="N9" s="6" t="inlineStr">
        <is>
          <t>نعم</t>
        </is>
      </c>
      <c r="O9" s="6" t="inlineStr">
        <is>
          <t>يشير إلى مدارسة جبريل للنبي ﷺ القرآن كل عام (البخاري) دون نصه</t>
        </is>
      </c>
      <c r="P9" s="6" t="inlineStr">
        <is>
          <t>محمد — 2026-10-04</t>
        </is>
      </c>
      <c r="Q9" s="6" t="inlineStr">
        <is>
          <t>موافق</t>
        </is>
      </c>
      <c r="R9"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9" s="7">
        <f>IF(A9="","",IF(OR(M9="ج",M9="د"),"المستوى لا يُنشر",IF(IFERROR(INDEX(المصادر!$F$2:$F$30,MATCH(D9,المصادر!$A$2:$A$30,0)),"")&lt;&gt;"نعم","المصدر غير معتمد",IF(OR(B9="",E9="",J9="",K9="",P9=""),"بيانات ناقصة",IF(AND(N9="نعم",Q9&lt;&gt;"موافق"),"ينقصه رأي المختص","صالح للنشر")))))</f>
        <v/>
      </c>
      <c r="T9" t="inlineStr">
        <is>
          <t>نعم</t>
        </is>
      </c>
      <c r="U9" s="7" t="inlineStr">
        <is>
          <t>كم عدد سور القرآن؟ | لماذا تتنقل السورة بين موضوعات مختلفة؟</t>
        </is>
      </c>
    </row>
    <row r="10" ht="150" customHeight="1">
      <c r="A10" s="5" t="inlineStr">
        <is>
          <t>ق-28</t>
        </is>
      </c>
      <c r="B10" s="5" t="inlineStr">
        <is>
          <t>ح4</t>
        </is>
      </c>
      <c r="C10" s="6" t="inlineStr">
        <is>
          <t>إضافي</t>
        </is>
      </c>
      <c r="D10" s="6" t="inlineStr">
        <is>
          <t>م-01</t>
        </is>
      </c>
      <c r="E10" s="6" t="inlineStr">
        <is>
          <t>المسألة (53)، ص246–ص246 — مختصر الإجابة</t>
        </is>
      </c>
      <c r="F10" s="6" t="inlineStr">
        <is>
          <t>ادعاء أن آيات القرآن وسوره غير مرتبة.</t>
        </is>
      </c>
      <c r="G10" s="6"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10" s="6" t="inlineStr">
        <is>
          <t>لماذا ترتيب القرآن وتنظيمه وترتيب مواضيعه، ليس مثل الكتب المرتبة موضوعيا أو زمنيا؟</t>
        </is>
      </c>
      <c r="I10" s="6" t="inlineStr">
        <is>
          <t>—</t>
        </is>
      </c>
      <c r="J10"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10" s="6" t="inlineStr">
        <is>
          <t>يبين أن ترتيب القرآن غير الموضوعي له حكمة، وأن مزج الموضوعات في السورة الواحدة من كماله لا نقصه.</t>
        </is>
      </c>
      <c r="L10" s="6" t="inlineStr">
        <is>
          <t>لماذا لا يُقسَّم القرآن إلى فصول؟ | لماذا تتنقل السورة بين موضوعات مختلفة؟</t>
        </is>
      </c>
      <c r="M10" s="6" t="inlineStr">
        <is>
          <t>ب</t>
        </is>
      </c>
      <c r="N10" s="6" t="inlineStr">
        <is>
          <t>لا</t>
        </is>
      </c>
      <c r="O10" s="6" t="inlineStr">
        <is>
          <t>—</t>
        </is>
      </c>
      <c r="P10" s="6" t="inlineStr">
        <is>
          <t>محمد — 2026-10-04</t>
        </is>
      </c>
      <c r="Q10" s="6" t="inlineStr"/>
      <c r="R10" s="6" t="inlineStr">
        <is>
          <t>مراجعة النقل: مطابق دون ملاحظات.</t>
        </is>
      </c>
      <c r="S10" s="7">
        <f>IF(A10="","",IF(OR(M10="ج",M10="د"),"المستوى لا يُنشر",IF(IFERROR(INDEX(المصادر!$F$2:$F$30,MATCH(D10,المصادر!$A$2:$A$30,0)),"")&lt;&gt;"نعم","المصدر غير معتمد",IF(OR(B10="",E10="",J10="",K10="",P10=""),"بيانات ناقصة",IF(AND(N10="نعم",Q10&lt;&gt;"موافق"),"ينقصه رأي المختص","صالح للنشر")))))</f>
        <v/>
      </c>
      <c r="U10" s="7" t="inlineStr">
        <is>
          <t>من رتّب سور القرآن؟ | ما أبرز موضوعات القرآن؟</t>
        </is>
      </c>
    </row>
    <row r="11" ht="150" customHeight="1">
      <c r="A11" s="5" t="inlineStr">
        <is>
          <t>ق-31</t>
        </is>
      </c>
      <c r="B11" s="5" t="inlineStr">
        <is>
          <t>ح6</t>
        </is>
      </c>
      <c r="C11" s="6" t="inlineStr">
        <is>
          <t>إضافي</t>
        </is>
      </c>
      <c r="D11" s="6" t="inlineStr">
        <is>
          <t>م-01</t>
        </is>
      </c>
      <c r="E11" s="6" t="inlineStr">
        <is>
          <t>المسألة (94)، ص423–ص424 — مختصر الإجابة</t>
        </is>
      </c>
      <c r="F11" s="6" t="inlineStr">
        <is>
          <t>عدم موافقة ترجمة القرآن لجميع معانيه.</t>
        </is>
      </c>
      <c r="G11" s="6"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11" s="6" t="inlineStr">
        <is>
          <t>لماذا لا تطابق ترجمة القرآن جميع معانيه؟</t>
        </is>
      </c>
      <c r="I11" s="6" t="inlineStr">
        <is>
          <t>—</t>
        </is>
      </c>
      <c r="J11"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11" s="6" t="inlineStr">
        <is>
          <t>يبين أن ترجمة معاني القرآن نوع من التفسير بلغة أخرى، تنقل ما فهمه المترجم لا نص القرآن نفسه.</t>
        </is>
      </c>
      <c r="L11" s="6" t="inlineStr">
        <is>
          <t>هل الترجمة هي القرآن؟ | هل أستطيع فهم القرآن من ترجمة؟</t>
        </is>
      </c>
      <c r="M11" s="6" t="inlineStr">
        <is>
          <t>ب</t>
        </is>
      </c>
      <c r="N11" s="6" t="inlineStr">
        <is>
          <t>لا</t>
        </is>
      </c>
      <c r="O11" s="6" t="inlineStr">
        <is>
          <t>—</t>
        </is>
      </c>
      <c r="P11" s="6" t="inlineStr">
        <is>
          <t>محمد — 2026-10-04</t>
        </is>
      </c>
      <c r="Q11" s="6" t="inlineStr"/>
      <c r="R11" s="6" t="inlineStr">
        <is>
          <t>مراجعة النقل: مطابق دون ملاحظات.</t>
        </is>
      </c>
      <c r="S11" s="7">
        <f>IF(A11="","",IF(OR(M11="ج",M11="د"),"المستوى لا يُنشر",IF(IFERROR(INDEX(المصادر!$F$2:$F$30,MATCH(D11,المصادر!$A$2:$A$30,0)),"")&lt;&gt;"نعم","المصدر غير معتمد",IF(OR(B11="",E11="",J11="",K11="",P11=""),"بيانات ناقصة",IF(AND(N11="نعم",Q11&lt;&gt;"موافق"),"ينقصه رأي المختص","صالح للنشر")))))</f>
        <v/>
      </c>
      <c r="U11" s="7" t="inlineStr">
        <is>
          <t>ما أفضل ترجمة للقرآن؟ | ما هو التفسير؟ | هل تجوز الصلاة بترجمة القرآن؟</t>
        </is>
      </c>
    </row>
    <row r="12" ht="150" customHeight="1">
      <c r="A12" s="5" t="inlineStr">
        <is>
          <t>ق-23</t>
        </is>
      </c>
      <c r="B12" s="5" t="inlineStr">
        <is>
          <t>ح7</t>
        </is>
      </c>
      <c r="C12" s="6" t="inlineStr">
        <is>
          <t>أساسي</t>
        </is>
      </c>
      <c r="D12" s="6" t="inlineStr">
        <is>
          <t>م-01</t>
        </is>
      </c>
      <c r="E12" s="6" t="inlineStr">
        <is>
          <t>المسألة (84)، ص377–ص378 — مختصر الإجابة</t>
        </is>
      </c>
      <c r="F12" s="6" t="inlineStr">
        <is>
          <t>تحدى القرآن البشر أن يأتوا بمثله، مع وجود كلام في غاية البلاغة للبشر.</t>
        </is>
      </c>
      <c r="G12" s="6" t="inlineStr">
        <is>
          <t>تحدى القرآن البشر أن يأتوا بمثله، وقد رأينا في كلام كثير من الناس والشعراء غاية البلاغة؛ أفلا يستطيع هؤلاء أن يأتوا بمثل القرآن؟</t>
        </is>
      </c>
      <c r="H12" s="6" t="inlineStr">
        <is>
          <t>إعجاز القرآن. | القول بالصرفة. | القرآن تحدى بلغاء العرب.</t>
        </is>
      </c>
      <c r="I12" s="6" t="inlineStr">
        <is>
          <t>صاحب هذا السؤال يرى أن القرآن قد تحدى البشر أن يأتوا بمثله، والبلغاء والشعراء لهم كلام غاية في البلاغة؛ فهم يستطيعون أن يأتوا بمثله.</t>
        </is>
      </c>
      <c r="J12"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12" s="6" t="inlineStr">
        <is>
          <t>يبين أن القرآن تحدى العرب أن يأتوا بمثله فعجزوا مع بلاغتهم وعداوتهم، وأن إعجازه يشمل لفظه ومعانيه وأخباره وتشريعه.</t>
        </is>
      </c>
      <c r="L12" s="6" t="inlineStr">
        <is>
          <t>ما معنى أن القرآن معجز؟ | هل يستطيع أحد أن يأتي بمثل القرآن؟ | ما هو تحدي القرآن؟</t>
        </is>
      </c>
      <c r="M12" s="6" t="inlineStr">
        <is>
          <t>ب</t>
        </is>
      </c>
      <c r="N12" s="6" t="inlineStr">
        <is>
          <t>نعم</t>
        </is>
      </c>
      <c r="O12" s="6" t="inlineStr">
        <is>
          <t>البقرة 24 (جزء)؛ فصلت 42 — نُسخت من المطبوع بالرسم الإملائي، ويجب استبدالها بنص مصحف مجمع الملك فهد</t>
        </is>
      </c>
      <c r="P12" s="6" t="inlineStr">
        <is>
          <t>محمد — 2026-10-04</t>
        </is>
      </c>
      <c r="Q12" s="6" t="inlineStr">
        <is>
          <t>موافق</t>
        </is>
      </c>
      <c r="R12"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2" s="7">
        <f>IF(A12="","",IF(OR(M12="ج",M12="د"),"المستوى لا يُنشر",IF(IFERROR(INDEX(المصادر!$F$2:$F$30,MATCH(D12,المصادر!$A$2:$A$30,0)),"")&lt;&gt;"نعم","المصدر غير معتمد",IF(OR(B12="",E12="",J12="",K12="",P12=""),"بيانات ناقصة",IF(AND(N12="نعم",Q12&lt;&gt;"موافق"),"ينقصه رأي المختص","صالح للنشر")))))</f>
        <v/>
      </c>
      <c r="T12" t="inlineStr">
        <is>
          <t>نعم</t>
        </is>
      </c>
      <c r="U12" s="7" t="inlineStr">
        <is>
          <t>ما تعريف القرآن؟ | لماذا يعظّم المسلمون القرآن؟ | ما أمثلة الإعجاز العلمي؟</t>
        </is>
      </c>
    </row>
    <row r="13" ht="150" customHeight="1">
      <c r="A13" s="5" t="inlineStr">
        <is>
          <t>ق-24</t>
        </is>
      </c>
      <c r="B13" s="5" t="inlineStr">
        <is>
          <t>ح7</t>
        </is>
      </c>
      <c r="C13" s="6" t="inlineStr">
        <is>
          <t>أساسي</t>
        </is>
      </c>
      <c r="D13" s="6" t="inlineStr">
        <is>
          <t>م-01</t>
        </is>
      </c>
      <c r="E13" s="6" t="inlineStr">
        <is>
          <t>المسألة (27)، ص135–ص135 — مختصر الإجابة</t>
        </is>
      </c>
      <c r="F13" s="6" t="inlineStr">
        <is>
          <t>ادعاء أن القرآن مصدره البشر.</t>
        </is>
      </c>
      <c r="G13" s="6" t="inlineStr">
        <is>
          <t>لماذا لا يكون القرآن من وضع البشر، أو يكون من تأليف النبي ﷺ نفسه، وقد جاءت آية في القرآن تنص على ذلك: ﴿إنه لقول رسول كريم﴾ [الحاقة: 40]؟</t>
        </is>
      </c>
      <c r="H13" s="6" t="inlineStr">
        <is>
          <t>مصدر القرآن الكريم. | القرآن كلام الله.</t>
        </is>
      </c>
      <c r="I13" s="6" t="inlineStr">
        <is>
          <t>حول مصدر القرآن، وادعاء بعض المشككين: أنه يمكن أن يكون مصدر القرآن بشرا.</t>
        </is>
      </c>
      <c r="J13"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13" s="6" t="inlineStr">
        <is>
          <t>يذكر أربعة أدلة مختصرة على أن القرآن ليس من تأليف بشر، منها ورود عتاب للنبي ﷺ في بعض الآيات.</t>
        </is>
      </c>
      <c r="L13" s="6" t="inlineStr">
        <is>
          <t>هل ألّف النبي القرآن؟ | لماذا لا يكون القرآن من كلام محمد؟ | كيف نعرف أن القرآن ليس من البشر؟</t>
        </is>
      </c>
      <c r="M13" s="6" t="inlineStr">
        <is>
          <t>ب</t>
        </is>
      </c>
      <c r="N13" s="6" t="inlineStr">
        <is>
          <t>نعم</t>
        </is>
      </c>
      <c r="O13" s="6" t="inlineStr">
        <is>
          <t>لا يوجد في المقطع (آية الحاقة 40 في نص السؤال فقط); آية في السؤال المصدري</t>
        </is>
      </c>
      <c r="P13" s="6" t="inlineStr">
        <is>
          <t>محمد — 2026-10-04</t>
        </is>
      </c>
      <c r="Q13" s="6" t="inlineStr">
        <is>
          <t>موافق</t>
        </is>
      </c>
      <c r="R13"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3" s="7">
        <f>IF(A13="","",IF(OR(M13="ج",M13="د"),"المستوى لا يُنشر",IF(IFERROR(INDEX(المصادر!$F$2:$F$30,MATCH(D13,المصادر!$A$2:$A$30,0)),"")&lt;&gt;"نعم","المصدر غير معتمد",IF(OR(B13="",E13="",J13="",K13="",P13=""),"بيانات ناقصة",IF(AND(N13="نعم",Q13&lt;&gt;"موافق"),"ينقصه رأي المختص","صالح للنشر")))))</f>
        <v/>
      </c>
      <c r="T13" t="inlineStr">
        <is>
          <t>نعم</t>
        </is>
      </c>
      <c r="U13" s="7" t="inlineStr">
        <is>
          <t>ما هو القرآن؟ | ما مكانة القرآن؟ | كيف كان الوحي ينزل؟</t>
        </is>
      </c>
    </row>
    <row r="14" ht="150" customHeight="1">
      <c r="A14" s="5" t="inlineStr">
        <is>
          <t>ق-25</t>
        </is>
      </c>
      <c r="B14" s="5" t="inlineStr">
        <is>
          <t>ح7</t>
        </is>
      </c>
      <c r="C14" s="6" t="inlineStr">
        <is>
          <t>إضافي</t>
        </is>
      </c>
      <c r="D14" s="6" t="inlineStr">
        <is>
          <t>م-01</t>
        </is>
      </c>
      <c r="E14" s="6" t="inlineStr">
        <is>
          <t>المسألة (25)، ص126–ص127 — مختصر الإجابة</t>
        </is>
      </c>
      <c r="F14" s="6" t="inlineStr">
        <is>
          <t>ادعاء أن القرآن مصدره الكتب السابقة.</t>
        </is>
      </c>
      <c r="G14" s="6" t="inlineStr">
        <is>
          <t>مصدر القرآن لم يكن وحيا من الله تعالى، بل هو مقتبس من الكتب السابقة.</t>
        </is>
      </c>
      <c r="H14" s="6" t="inlineStr">
        <is>
          <t>مصدر القرآن الكريم. | القرآن كلام الله. | الكتب السابقة.</t>
        </is>
      </c>
      <c r="I14" s="6" t="inlineStr">
        <is>
          <t>حول مصدر القرآن وعلاقته بالكتب السابقة؛ من حيث المضمون والأسلوب.</t>
        </is>
      </c>
      <c r="J14"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14" s="6" t="inlineStr">
        <is>
          <t>يعرّف الاقتباس ويبين أنه لا ينطبق على القرآن، لأنه يختلف عن الكتب السابقة في مضمونه وأسلوبه.</t>
        </is>
      </c>
      <c r="L14" s="6" t="inlineStr">
        <is>
          <t>هل نقل محمد القرآن من التوراة والإنجيل؟ | لماذا تتشابه قصص القرآن مع الكتب السابقة؟ | هل القرآن مقتبس؟</t>
        </is>
      </c>
      <c r="M14" s="6" t="inlineStr">
        <is>
          <t>ب</t>
        </is>
      </c>
      <c r="N14" s="6" t="inlineStr">
        <is>
          <t>نعم</t>
        </is>
      </c>
      <c r="O14" s="6" t="inlineStr">
        <is>
          <t>—</t>
        </is>
      </c>
      <c r="P14" s="6" t="inlineStr">
        <is>
          <t>محمد — 2026-10-04</t>
        </is>
      </c>
      <c r="Q14" s="6" t="inlineStr">
        <is>
          <t>موافق</t>
        </is>
      </c>
      <c r="R14"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4" s="7">
        <f>IF(A14="","",IF(OR(M14="ج",M14="د"),"المستوى لا يُنشر",IF(IFERROR(INDEX(المصادر!$F$2:$F$30,MATCH(D14,المصادر!$A$2:$A$30,0)),"")&lt;&gt;"نعم","المصدر غير معتمد",IF(OR(B14="",E14="",J14="",K14="",P14=""),"بيانات ناقصة",IF(AND(N14="نعم",Q14&lt;&gt;"موافق"),"ينقصه رأي المختص","صالح للنشر")))))</f>
        <v/>
      </c>
      <c r="T14" t="inlineStr">
        <is>
          <t>نعم</t>
        </is>
      </c>
      <c r="U14" s="7" t="inlineStr">
        <is>
          <t>ما معنى أن القرآن مهيمن على الكتب السابقة؟ | ما قصص الأنبياء في القرآن؟</t>
        </is>
      </c>
    </row>
    <row r="15" ht="150" customHeight="1">
      <c r="A15" s="5" t="inlineStr">
        <is>
          <t>ق-26</t>
        </is>
      </c>
      <c r="B15" s="5" t="inlineStr">
        <is>
          <t>ح7</t>
        </is>
      </c>
      <c r="C15" s="6" t="inlineStr">
        <is>
          <t>إضافي</t>
        </is>
      </c>
      <c r="D15" s="6" t="inlineStr">
        <is>
          <t>م-01</t>
        </is>
      </c>
      <c r="E15" s="6" t="inlineStr">
        <is>
          <t>المسألة (26)، ص131–ص131 — مختصر الإجابة</t>
        </is>
      </c>
      <c r="F15" s="6" t="inlineStr">
        <is>
          <t>ادعاء أن القرآن وثيقة قديمة.</t>
        </is>
      </c>
      <c r="G15" s="6" t="inlineStr">
        <is>
          <t>يقال: إن محمدا وجد وثيقة قديمة، فقام بتعديلها، ثم سماها قرآنا.</t>
        </is>
      </c>
      <c r="H15" s="6" t="inlineStr">
        <is>
          <t>مصدر القرآن الكريم. | القرآن كلام الله. | الكتب السابقة.</t>
        </is>
      </c>
      <c r="I15" s="6" t="inlineStr">
        <is>
          <t>يدور السؤال حول مصدر القرآن، وادعاء كون أصله وثيقة سابقة وجدها النبي ﷺ، فقام بتعديلها، وسماها قرآنا.</t>
        </is>
      </c>
      <c r="J15"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15" s="6" t="inlineStr">
        <is>
          <t>يرد على القول بأن القرآن وثيقة قديمة، بتوافقه مع أسباب النزول، وانتظار النبي ﷺ الوحي أحيانا، وإخباره بأمور مستقبلية تحققت.</t>
        </is>
      </c>
      <c r="L15" s="6" t="inlineStr">
        <is>
          <t>هل وجد النبي القرآن مكتوبا؟ | هل كان النبي ينتظر الوحي؟</t>
        </is>
      </c>
      <c r="M15" s="6" t="inlineStr">
        <is>
          <t>ب</t>
        </is>
      </c>
      <c r="N15" s="6" t="inlineStr">
        <is>
          <t>نعم</t>
        </is>
      </c>
      <c r="O15" s="6" t="inlineStr">
        <is>
          <t>يشير إلى حادثة الإفك دون نص</t>
        </is>
      </c>
      <c r="P15" s="6" t="inlineStr">
        <is>
          <t>محمد — 2026-10-04</t>
        </is>
      </c>
      <c r="Q15" s="6" t="inlineStr">
        <is>
          <t>موافق</t>
        </is>
      </c>
      <c r="R15"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5" s="7">
        <f>IF(A15="","",IF(OR(M15="ج",M15="د"),"المستوى لا يُنشر",IF(IFERROR(INDEX(المصادر!$F$2:$F$30,MATCH(D15,المصادر!$A$2:$A$30,0)),"")&lt;&gt;"نعم","المصدر غير معتمد",IF(OR(B15="",E15="",J15="",K15="",P15=""),"بيانات ناقصة",IF(AND(N15="نعم",Q15&lt;&gt;"موافق"),"ينقصه رأي المختص","صالح للنشر")))))</f>
        <v/>
      </c>
      <c r="T15" t="inlineStr">
        <is>
          <t>نعم</t>
        </is>
      </c>
      <c r="U15" s="7" t="inlineStr">
        <is>
          <t>كيف جُمع القرآن؟ | ما أسباب نزول آية بعينها؟</t>
        </is>
      </c>
    </row>
    <row r="16" ht="150" customHeight="1">
      <c r="A16" s="5" t="inlineStr">
        <is>
          <t>ق-27</t>
        </is>
      </c>
      <c r="B16" s="5" t="inlineStr">
        <is>
          <t>ح7</t>
        </is>
      </c>
      <c r="C16" s="6" t="inlineStr">
        <is>
          <t>إضافي</t>
        </is>
      </c>
      <c r="D16" s="6" t="inlineStr">
        <is>
          <t>م-01</t>
        </is>
      </c>
      <c r="E16" s="6" t="inlineStr">
        <is>
          <t>المسألة (29)، ص143–ص143 — مختصر الإجابة</t>
        </is>
      </c>
      <c r="F16" s="6" t="inlineStr">
        <is>
          <t>ادعاء الاستطاعة بإيجاد مثل علوم القرآن ومعارفه لبعض النابغين ذوي المواهب من الناس.</t>
        </is>
      </c>
      <c r="G16" s="6" t="inlineStr">
        <is>
          <t>هل يصح القول بأن ما في القرآن من علوم ومعارف ما هي إلا آثار لمواهب بعض النابغين من الناس، وهذه المواهب وآثارها وجدت، ويمكن أن توجد في كل أمة؟</t>
        </is>
      </c>
      <c r="H16" s="6" t="inlineStr">
        <is>
          <t>هل يمكن للنابغين والموهوبين الإتيان بمثل ما في القرآن من علوم ومعارف؟</t>
        </is>
      </c>
      <c r="I16" s="6" t="inlineStr">
        <is>
          <t>—</t>
        </is>
      </c>
      <c r="J16"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16" s="6" t="inlineStr">
        <is>
          <t>يبين أن ذكاء البشر ومواهبهم مهما بلغت لا تصل إلى ما في القرآن من إعجاز وعلوم تهدي إلى الحق.</t>
        </is>
      </c>
      <c r="L16" s="6" t="inlineStr">
        <is>
          <t>ألا يمكن أن يكون القرآن من عبقري؟ | هل يستطيع شخص ذكي أن يكتب مثل القرآن؟</t>
        </is>
      </c>
      <c r="M16" s="6" t="inlineStr">
        <is>
          <t>ب</t>
        </is>
      </c>
      <c r="N16" s="6" t="inlineStr">
        <is>
          <t>نعم</t>
        </is>
      </c>
      <c r="O16" s="6" t="inlineStr">
        <is>
          <t>لا يوجد في الفقرات المختارة</t>
        </is>
      </c>
      <c r="P16" s="6" t="inlineStr">
        <is>
          <t>محمد — 2026-10-04</t>
        </is>
      </c>
      <c r="Q16" s="6" t="inlineStr">
        <is>
          <t>موافق</t>
        </is>
      </c>
      <c r="R16" s="6"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S16" s="7">
        <f>IF(A16="","",IF(OR(M16="ج",M16="د"),"المستوى لا يُنشر",IF(IFERROR(INDEX(المصادر!$F$2:$F$30,MATCH(D16,المصادر!$A$2:$A$30,0)),"")&lt;&gt;"نعم","المصدر غير معتمد",IF(OR(B16="",E16="",J16="",K16="",P16=""),"بيانات ناقصة",IF(AND(N16="نعم",Q16&lt;&gt;"موافق"),"ينقصه رأي المختص","صالح للنشر")))))</f>
        <v/>
      </c>
      <c r="T16" t="inlineStr">
        <is>
          <t>نعم</t>
        </is>
      </c>
      <c r="U16" s="7" t="inlineStr">
        <is>
          <t>ما أمثلة الإعجاز العلمي؟ | ما مكانة القرآن؟</t>
        </is>
      </c>
    </row>
  </sheetData>
  <autoFilter ref="A1:S16"/>
  <conditionalFormatting sqref="S2:S200">
    <cfRule type="expression" priority="1" dxfId="0">
      <formula>$S2="صالح للنشر"</formula>
    </cfRule>
  </conditionalFormatting>
  <conditionalFormatting sqref="N2:N200">
    <cfRule type="expression" priority="2" dxfId="1">
      <formula>$N2="نعم"</formula>
    </cfRule>
  </conditionalFormatting>
  <dataValidations count="1">
    <dataValidation sqref="T2:T300" showDropDown="0" showInputMessage="0" showErrorMessage="0" allowBlank="1" type="list">
      <formula1>"نعم,لا"</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80" customWidth="1" min="3" max="3"/>
    <col width="12" customWidth="1" min="4" max="4"/>
    <col width="18" customWidth="1" min="5" max="5"/>
    <col width="36" customWidth="1" min="6" max="6"/>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اعتمده (المراجع والتاريخ)</t>
        </is>
      </c>
      <c r="F1" s="4" t="inlineStr">
        <is>
          <t>ملاحظات الاعتماد</t>
        </is>
      </c>
    </row>
  </sheetData>
  <dataValidations count="1">
    <dataValidation sqref="D2:D200" showDropDown="0" showInputMessage="0" showErrorMessage="0" allowBlank="1" type="list">
      <formula1>"نعم,لا"</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 t="inlineStr">
        <is>
          <t>رقم</t>
        </is>
      </c>
      <c r="B1" s="4" t="inlineStr">
        <is>
          <t>الحاجة</t>
        </is>
      </c>
      <c r="C1" s="4" t="inlineStr">
        <is>
          <t>الأولوية</t>
        </is>
      </c>
      <c r="D1" s="4" t="inlineStr">
        <is>
          <t>ما المطلوب</t>
        </is>
      </c>
      <c r="E1" s="4" t="inlineStr">
        <is>
          <t>المصدر المرشح</t>
        </is>
      </c>
      <c r="F1" s="4" t="inlineStr">
        <is>
          <t>ملاحظات</t>
        </is>
      </c>
    </row>
    <row r="2" ht="34" customHeight="1">
      <c r="A2" s="5" t="inlineStr">
        <is>
          <t>ق-18</t>
        </is>
      </c>
      <c r="B2" s="5" t="inlineStr">
        <is>
          <t>ح6</t>
        </is>
      </c>
      <c r="C2" s="6" t="inlineStr">
        <is>
          <t>إضافي</t>
        </is>
      </c>
      <c r="D2" s="6" t="inlineStr">
        <is>
          <t>من أين يبدأ المبتدئ القراءة</t>
        </is>
      </c>
      <c r="E2" s="6" t="inlineStr">
        <is>
          <t>لم يُعثر عليه في كتاب القطان؛ يُبحث في الدرر أو بينات</t>
        </is>
      </c>
      <c r="F2" s="6" t="n"/>
    </row>
    <row r="3" ht="34" customHeight="1"/>
    <row r="4" ht="34" customHeight="1"/>
    <row r="5" ht="34" customHeight="1"/>
    <row r="6" ht="34" customHeight="1"/>
    <row r="7" ht="34" customHeight="1"/>
    <row r="8" ht="34" customHeight="1"/>
    <row r="9" ht="34" customHeight="1"/>
    <row r="10" ht="34" customHeight="1"/>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 t="inlineStr">
        <is>
          <t>النوع</t>
        </is>
      </c>
      <c r="B1" s="4" t="inlineStr">
        <is>
          <t>الرقم</t>
        </is>
      </c>
      <c r="C1" s="4" t="inlineStr">
        <is>
          <t>الحاجة أو متى يُستخدم</t>
        </is>
      </c>
      <c r="D1" s="4" t="inlineStr">
        <is>
          <t>الموضع</t>
        </is>
      </c>
      <c r="E1" s="4" t="inlineStr">
        <is>
          <t>النص</t>
        </is>
      </c>
      <c r="F1" s="4" t="inlineStr">
        <is>
          <t>سبب الرفض</t>
        </is>
      </c>
      <c r="G1" s="4" t="inlineStr">
        <is>
          <t>المراجع والتاريخ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6" t="inlineStr">
        <is>
          <t>م-01</t>
        </is>
      </c>
      <c r="B2" s="8" t="inlineStr">
        <is>
          <t>بينات: أسئلة منتقاة حول الإسلام</t>
        </is>
      </c>
      <c r="C2" s="6" t="inlineStr">
        <is>
          <t>مركز أصول (1445هـ)</t>
        </is>
      </c>
      <c r="D2" s="8" t="inlineStr">
        <is>
          <t>https://dawa.center/file/7937</t>
        </is>
      </c>
      <c r="E2" s="6" t="inlineStr">
        <is>
          <t>معروضة</t>
        </is>
      </c>
      <c r="F2" s="8" t="inlineStr">
        <is>
          <t>نعم</t>
        </is>
      </c>
      <c r="G2" s="6" t="inlineStr">
        <is>
          <t>ح2 ح3 ح4 ح6 ح7 ح1</t>
        </is>
      </c>
    </row>
    <row r="3">
      <c r="A3" s="6" t="inlineStr">
        <is>
          <t>م-02</t>
        </is>
      </c>
      <c r="B3" s="8" t="inlineStr">
        <is>
          <t>الموسوعة العقدية — الباب الثاني: الإيمان بالقرآن</t>
        </is>
      </c>
      <c r="C3" s="6" t="inlineStr">
        <is>
          <t>الدرر السنية</t>
        </is>
      </c>
      <c r="D3" s="8" t="inlineStr">
        <is>
          <t>https://dorar.net/aqeeda/1361</t>
        </is>
      </c>
      <c r="E3" s="6" t="inlineStr">
        <is>
          <t>معروضة</t>
        </is>
      </c>
      <c r="F3" s="8" t="inlineStr">
        <is>
          <t>نعم</t>
        </is>
      </c>
      <c r="G3" s="6" t="inlineStr">
        <is>
          <t>ح1 ح3</t>
        </is>
      </c>
    </row>
    <row r="4">
      <c r="A4" s="6" t="inlineStr">
        <is>
          <t>م-03</t>
        </is>
      </c>
      <c r="B4" s="8" t="inlineStr">
        <is>
          <t>مباحث في علوم القرآن، مناع القطان</t>
        </is>
      </c>
      <c r="C4" s="6" t="inlineStr">
        <is>
          <t>quranpedia.net</t>
        </is>
      </c>
      <c r="D4" s="8" t="inlineStr">
        <is>
          <t>https://quranpedia.net/book/23563</t>
        </is>
      </c>
      <c r="E4" s="6" t="inlineStr">
        <is>
          <t>معروضة</t>
        </is>
      </c>
      <c r="F4" s="8" t="inlineStr">
        <is>
          <t>نعم</t>
        </is>
      </c>
      <c r="G4" s="6" t="inlineStr">
        <is>
          <t>ح2 ح4 ح5 ح6</t>
        </is>
      </c>
    </row>
    <row r="5">
      <c r="A5" s="6" t="inlineStr">
        <is>
          <t>ت-01</t>
        </is>
      </c>
      <c r="B5" s="8" t="inlineStr">
        <is>
          <t>مصحف مجمع الملك فهد (نص الآيات)</t>
        </is>
      </c>
      <c r="C5" s="6" t="inlineStr">
        <is>
          <t>مجمع الملك فهد</t>
        </is>
      </c>
      <c r="D5" s="8" t="inlineStr">
        <is>
          <t>https://quranpedia.net</t>
        </is>
      </c>
      <c r="E5" s="6" t="inlineStr">
        <is>
          <t>تحقق فقط</t>
        </is>
      </c>
      <c r="F5" s="8" t="inlineStr">
        <is>
          <t>نعم</t>
        </is>
      </c>
      <c r="G5" s="6" t="inlineStr">
        <is>
          <t>كل الحاجات</t>
        </is>
      </c>
    </row>
    <row r="6">
      <c r="A6" s="6" t="inlineStr">
        <is>
          <t>ت-02</t>
        </is>
      </c>
      <c r="B6" s="8" t="inlineStr">
        <is>
          <t>الموسوعة الحديثية</t>
        </is>
      </c>
      <c r="C6" s="6" t="inlineStr">
        <is>
          <t>الدرر السنية</t>
        </is>
      </c>
      <c r="D6" s="8" t="inlineStr">
        <is>
          <t>https://dorar.net/hadith</t>
        </is>
      </c>
      <c r="E6" s="6" t="inlineStr">
        <is>
          <t>تحقق فقط</t>
        </is>
      </c>
      <c r="F6" s="8" t="inlineStr">
        <is>
          <t>نعم</t>
        </is>
      </c>
      <c r="G6" s="6" t="inlineStr">
        <is>
          <t>كل الحاجات</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 width="16" customWidth="1" min="10" max="10"/>
  </cols>
  <sheetData>
    <row r="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معتمد</t>
        </is>
      </c>
      <c r="I1" s="4" t="inlineStr">
        <is>
          <t>التغطية</t>
        </is>
      </c>
      <c r="J1" s="4" t="inlineStr">
        <is>
          <t>مقطع الزر</t>
        </is>
      </c>
    </row>
    <row r="2">
      <c r="A2" s="6" t="inlineStr">
        <is>
          <t>ح1</t>
        </is>
      </c>
      <c r="B2" s="6" t="inlineStr">
        <is>
          <t>التعرّف إلى القرآن</t>
        </is>
      </c>
      <c r="C2" s="6" t="inlineStr">
        <is>
          <t>ما القرآن، وما مكانته في الإسلام؟</t>
        </is>
      </c>
      <c r="D2" s="6"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6" t="inlineStr">
        <is>
          <t>صفة الكلام العقدية التفصيلية · فضائل سور بعينها</t>
        </is>
      </c>
      <c r="F2" s="6" t="inlineStr">
        <is>
          <t>ح2 · ح5</t>
        </is>
      </c>
      <c r="G2" s="7">
        <f>COUNTIFS(المقاطع!$B$2:$B$300,A2,المقاطع!$C$2:$C$300,"أساسي")+COUNTIFS(للمراجعة!$C$2:$C$300,A2,للمراجعة!$D$2:$D$300,"أساسي")+COUNTIFS(الناقص!$B$2:$B$300,A2,الناقص!$C$2:$C$300,"أساسي")</f>
        <v/>
      </c>
      <c r="H2" s="7">
        <f>COUNTIFS(المقاطع!$B$2:$B$300,A2,المقاطع!$C$2:$C$300,"أساسي",المقاطع!$S$2:$S$300,"صالح للنشر")</f>
        <v/>
      </c>
      <c r="I2" s="7">
        <f>IF(H2=0,"لا تغطية",IF(H2&lt;G2,"جزئية","مكتملة"))</f>
        <v/>
      </c>
      <c r="J2" s="7" t="n"/>
    </row>
    <row r="3">
      <c r="A3" s="6" t="inlineStr">
        <is>
          <t>ح5</t>
        </is>
      </c>
      <c r="B3" s="6" t="inlineStr">
        <is>
          <t>التعرّف إلى القرآن</t>
        </is>
      </c>
      <c r="C3" s="6" t="inlineStr">
        <is>
          <t>ما أبرز موضوعات القرآن ورسالته؟</t>
        </is>
      </c>
      <c r="D3" s="6"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6" t="inlineStr">
        <is>
          <t>تفسير آية بعينها · الأحكام التفصيلية · مقارنة الأديان التفصيلية · التفصيل في نبي بعينه</t>
        </is>
      </c>
      <c r="F3" s="6" t="inlineStr">
        <is>
          <t>ح6</t>
        </is>
      </c>
      <c r="G3" s="7">
        <f>COUNTIFS(المقاطع!$B$2:$B$300,A3,المقاطع!$C$2:$C$300,"أساسي")+COUNTIFS(للمراجعة!$C$2:$C$300,A3,للمراجعة!$D$2:$D$300,"أساسي")+COUNTIFS(الناقص!$B$2:$B$300,A3,الناقص!$C$2:$C$300,"أساسي")</f>
        <v/>
      </c>
      <c r="H3" s="7">
        <f>COUNTIFS(المقاطع!$B$2:$B$300,A3,المقاطع!$C$2:$C$300,"أساسي",المقاطع!$S$2:$S$300,"صالح للنشر")</f>
        <v/>
      </c>
      <c r="I3" s="7">
        <f>IF(H3=0,"لا تغطية",IF(H3&lt;G3,"جزئية","مكتملة"))</f>
        <v/>
      </c>
      <c r="J3" s="7" t="n"/>
    </row>
    <row r="4">
      <c r="A4" s="6" t="inlineStr">
        <is>
          <t>ح2</t>
        </is>
      </c>
      <c r="B4" s="6" t="inlineStr">
        <is>
          <t>نزول القرآن وحفظه</t>
        </is>
      </c>
      <c r="C4" s="6" t="inlineStr">
        <is>
          <t>كيف نزل القرآن؟</t>
        </is>
      </c>
      <c r="D4" s="6" t="inlineStr">
        <is>
          <t>«كيف وصل القرآن لمحمد؟» · «هل نزل القرآن مرة وحدة؟» · «ما هو الوحي؟» · «كم سنة استمر نزول القرآن؟» · «ما أول آية نزلت؟» · «ما معنى سورة مكية ومدنية؟»</t>
        </is>
      </c>
      <c r="E4" s="6" t="inlineStr">
        <is>
          <t>أسباب نزول آيات بعينها · الناسخ والمنسوخ</t>
        </is>
      </c>
      <c r="F4" s="6" t="inlineStr">
        <is>
          <t>ح3</t>
        </is>
      </c>
      <c r="G4" s="7">
        <f>COUNTIFS(المقاطع!$B$2:$B$300,A4,المقاطع!$C$2:$C$300,"أساسي")+COUNTIFS(للمراجعة!$C$2:$C$300,A4,للمراجعة!$D$2:$D$300,"أساسي")+COUNTIFS(الناقص!$B$2:$B$300,A4,الناقص!$C$2:$C$300,"أساسي")</f>
        <v/>
      </c>
      <c r="H4" s="7">
        <f>COUNTIFS(المقاطع!$B$2:$B$300,A4,المقاطع!$C$2:$C$300,"أساسي",المقاطع!$S$2:$S$300,"صالح للنشر")</f>
        <v/>
      </c>
      <c r="I4" s="7">
        <f>IF(H4=0,"لا تغطية",IF(H4&lt;G4,"جزئية","مكتملة"))</f>
        <v/>
      </c>
      <c r="J4" s="7" t="n"/>
    </row>
    <row r="5">
      <c r="A5" s="6" t="inlineStr">
        <is>
          <t>ح3</t>
        </is>
      </c>
      <c r="B5" s="6" t="inlineStr">
        <is>
          <t>نزول القرآن وحفظه</t>
        </is>
      </c>
      <c r="C5" s="6" t="inlineStr">
        <is>
          <t>كيف حُفظ القرآن وجُمع؟</t>
        </is>
      </c>
      <c r="D5" s="6"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6" t="inlineStr">
        <is>
          <t>القراءات واختلافها (قرار نطاق) · الروايات الجدلية في الجمع · المخطوطات وشبهات المستشرقين التفصيلية</t>
        </is>
      </c>
      <c r="F5" s="6" t="inlineStr">
        <is>
          <t>ح7 · ح4</t>
        </is>
      </c>
      <c r="G5" s="7">
        <f>COUNTIFS(المقاطع!$B$2:$B$300,A5,المقاطع!$C$2:$C$300,"أساسي")+COUNTIFS(للمراجعة!$C$2:$C$300,A5,للمراجعة!$D$2:$D$300,"أساسي")+COUNTIFS(الناقص!$B$2:$B$300,A5,الناقص!$C$2:$C$300,"أساسي")</f>
        <v/>
      </c>
      <c r="H5" s="7">
        <f>COUNTIFS(المقاطع!$B$2:$B$300,A5,المقاطع!$C$2:$C$300,"أساسي",المقاطع!$S$2:$S$300,"صالح للنشر")</f>
        <v/>
      </c>
      <c r="I5" s="7">
        <f>IF(H5=0,"لا تغطية",IF(H5&lt;G5,"جزئية","مكتملة"))</f>
        <v/>
      </c>
      <c r="J5" s="7" t="n"/>
    </row>
    <row r="6">
      <c r="A6" s="6" t="inlineStr">
        <is>
          <t>ح4</t>
        </is>
      </c>
      <c r="B6" s="6" t="inlineStr">
        <is>
          <t>البدء بالقراءة والفهم</t>
        </is>
      </c>
      <c r="C6" s="6" t="inlineStr">
        <is>
          <t>كيف تُنظَّم السور والآيات؟ وكيف أصل إلى آية؟</t>
        </is>
      </c>
      <c r="D6" s="6" t="inlineStr">
        <is>
          <t>«كم عدد سور القرآن؟» · «ما الفرق بين السورة والآية؟» · «كيف أجد آية في المصحف؟» · «ما معنى جزء عمّ؟» · «ليش السور مو مرتبة حسب نزولها؟» · «كيف أعرف رقم الآية؟»</t>
        </is>
      </c>
      <c r="E6" s="6" t="inlineStr">
        <is>
          <t>الخلاف في عدّ الآيات · «الإعجاز العددي»</t>
        </is>
      </c>
      <c r="F6" s="6" t="inlineStr">
        <is>
          <t>ح6</t>
        </is>
      </c>
      <c r="G6" s="7">
        <f>COUNTIFS(المقاطع!$B$2:$B$300,A6,المقاطع!$C$2:$C$300,"أساسي")+COUNTIFS(للمراجعة!$C$2:$C$300,A6,للمراجعة!$D$2:$D$300,"أساسي")+COUNTIFS(الناقص!$B$2:$B$300,A6,الناقص!$C$2:$C$300,"أساسي")</f>
        <v/>
      </c>
      <c r="H6" s="7">
        <f>COUNTIFS(المقاطع!$B$2:$B$300,A6,المقاطع!$C$2:$C$300,"أساسي",المقاطع!$S$2:$S$300,"صالح للنشر")</f>
        <v/>
      </c>
      <c r="I6" s="7">
        <f>IF(H6=0,"لا تغطية",IF(H6&lt;G6,"جزئية","مكتملة"))</f>
        <v/>
      </c>
      <c r="J6" s="7" t="n"/>
    </row>
    <row r="7">
      <c r="A7" s="6" t="inlineStr">
        <is>
          <t>ح6</t>
        </is>
      </c>
      <c r="B7" s="6" t="inlineStr">
        <is>
          <t>البدء بالقراءة والفهم</t>
        </is>
      </c>
      <c r="C7" s="6" t="inlineStr">
        <is>
          <t>كيف أبدأ قراءة القرآن وفهم معانيه؟</t>
        </is>
      </c>
      <c r="D7" s="6"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6" t="inlineStr">
        <is>
          <t>أحكام التجويد التفصيلية · أحكام لمس المصحف وقراءة أصحاب الأعذار (فتوى) · تفسير آية بعينها</t>
        </is>
      </c>
      <c r="F7" s="6" t="inlineStr">
        <is>
          <t>ح5</t>
        </is>
      </c>
      <c r="G7" s="7">
        <f>COUNTIFS(المقاطع!$B$2:$B$300,A7,المقاطع!$C$2:$C$300,"أساسي")+COUNTIFS(للمراجعة!$C$2:$C$300,A7,للمراجعة!$D$2:$D$300,"أساسي")+COUNTIFS(الناقص!$B$2:$B$300,A7,الناقص!$C$2:$C$300,"أساسي")</f>
        <v/>
      </c>
      <c r="H7" s="7">
        <f>COUNTIFS(المقاطع!$B$2:$B$300,A7,المقاطع!$C$2:$C$300,"أساسي",المقاطع!$S$2:$S$300,"صالح للنشر")</f>
        <v/>
      </c>
      <c r="I7" s="7">
        <f>IF(H7=0,"لا تغطية",IF(H7&lt;G7,"جزئية","مكتملة"))</f>
        <v/>
      </c>
      <c r="J7" s="7" t="n"/>
    </row>
    <row r="8">
      <c r="A8" s="6" t="inlineStr">
        <is>
          <t>ح7</t>
        </is>
      </c>
      <c r="B8" s="6" t="inlineStr">
        <is>
          <t>أسئلة عن مصدر القرآن</t>
        </is>
      </c>
      <c r="C8" s="6" t="inlineStr">
        <is>
          <t>لماذا يؤمن المسلمون أن القرآن من الله؟</t>
        </is>
      </c>
      <c r="D8" s="6"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6" t="inlineStr">
        <is>
          <t>«الإعجاز العلمي» (قرار نطاق) · الردود التفصيلية على المستشرقين</t>
        </is>
      </c>
      <c r="F8" s="6" t="inlineStr">
        <is>
          <t>ح3 · ح1</t>
        </is>
      </c>
      <c r="G8" s="7">
        <f>COUNTIFS(المقاطع!$B$2:$B$300,A8,المقاطع!$C$2:$C$300,"أساسي")+COUNTIFS(للمراجعة!$C$2:$C$300,A8,للمراجعة!$D$2:$D$300,"أساسي")+COUNTIFS(الناقص!$B$2:$B$300,A8,الناقص!$C$2:$C$300,"أساسي")</f>
        <v/>
      </c>
      <c r="H8" s="7">
        <f>COUNTIFS(المقاطع!$B$2:$B$300,A8,المقاطع!$C$2:$C$300,"أساسي",المقاطع!$S$2:$S$300,"صالح للنشر")</f>
        <v/>
      </c>
      <c r="I8" s="7">
        <f>IF(H8=0,"لا تغطية",IF(H8&lt;G8,"جزئية","مكتملة"))</f>
        <v/>
      </c>
      <c r="J8" s="7" t="n"/>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C8"/>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s>
  <sheetData>
    <row r="1" ht="34" customHeight="1">
      <c r="A1" s="4" t="inlineStr">
        <is>
          <t>المؤشر</t>
        </is>
      </c>
      <c r="B1" s="4" t="inlineStr">
        <is>
          <t>الحالي</t>
        </is>
      </c>
      <c r="C1" s="4" t="inlineStr">
        <is>
          <t>الهدف</t>
        </is>
      </c>
    </row>
    <row r="2">
      <c r="A2" s="6" t="inlineStr">
        <is>
          <t>مقاطع معتمدة صالحة للنشر</t>
        </is>
      </c>
      <c r="B2" s="5">
        <f>COUNTIF(المقاطع!$S$2:$S$300,"صالح للنشر")</f>
        <v/>
      </c>
      <c r="C2" s="6" t="inlineStr">
        <is>
          <t>—</t>
        </is>
      </c>
    </row>
    <row r="3">
      <c r="A3" s="6" t="inlineStr">
        <is>
          <t>منها أساسية</t>
        </is>
      </c>
      <c r="B3" s="5">
        <f>COUNTIFS(المقاطع!$C$2:$C$300,"أساسي",المقاطع!$S$2:$S$300,"صالح للنشر")</f>
        <v/>
      </c>
      <c r="C3" s="6" t="inlineStr">
        <is>
          <t>20</t>
        </is>
      </c>
    </row>
    <row r="4">
      <c r="A4" s="6" t="inlineStr">
        <is>
          <t>بنود تنتظر المراجعة (مقاطع)</t>
        </is>
      </c>
      <c r="B4" s="5">
        <f>COUNTIF(للمراجعة!$A$2:$A$300,"مقطع")</f>
        <v/>
      </c>
      <c r="C4" s="6" t="inlineStr">
        <is>
          <t>0</t>
        </is>
      </c>
    </row>
    <row r="5">
      <c r="A5" s="6" t="inlineStr">
        <is>
          <t>بنود تنتظر المراجعة (قوالب)</t>
        </is>
      </c>
      <c r="B5" s="5">
        <f>COUNTIF(للمراجعة!$A$2:$A$300,"قالب")</f>
        <v/>
      </c>
      <c r="C5" s="6" t="inlineStr">
        <is>
          <t>0</t>
        </is>
      </c>
    </row>
    <row r="6">
      <c r="A6" s="6" t="inlineStr">
        <is>
          <t>قوالب معتمدة</t>
        </is>
      </c>
      <c r="B6" s="5">
        <f>COUNTA(القوالب!$A$2:$A$300)</f>
        <v/>
      </c>
      <c r="C6" s="6" t="inlineStr">
        <is>
          <t>29</t>
        </is>
      </c>
    </row>
    <row r="7">
      <c r="A7" s="6" t="inlineStr">
        <is>
          <t>مقاطع لم تُستخرج بعد</t>
        </is>
      </c>
      <c r="B7" s="5">
        <f>COUNTA(الناقص!$A$2:$A$300)</f>
        <v/>
      </c>
      <c r="C7" s="6" t="inlineStr">
        <is>
          <t>0</t>
        </is>
      </c>
    </row>
    <row r="8">
      <c r="A8" s="6" t="inlineStr">
        <is>
          <t>مرفوضة (سجل)</t>
        </is>
      </c>
      <c r="B8" s="5">
        <f>COUNTA(المرفوض!$A$2:$A$300)</f>
        <v/>
      </c>
      <c r="C8" s="6"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2026-10-04T16:49:26Z</dcterms:created>
  <dcterms:modified xmlns:dcterms="http://purl.org/dc/terms/" xmlns:xsi="http://www.w3.org/2001/XMLSchema-instance" xsi:type="dcterms:W3CDTF">2026-10-05T06:03:05Z</dcterms:modified>
</cp:coreProperties>
</file>