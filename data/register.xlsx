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1" autoFilterDateGrouping="1"/>
  </bookViews>
  <sheets>
    <sheet xmlns:r="http://schemas.openxmlformats.org/officeDocument/2006/relationships" name="اقرأني" sheetId="1" state="visible" r:id="rId1"/>
    <sheet xmlns:r="http://schemas.openxmlformats.org/officeDocument/2006/relationships" name="للمراجعة" sheetId="2" state="visible" r:id="rId2"/>
    <sheet xmlns:r="http://schemas.openxmlformats.org/officeDocument/2006/relationships" name="المقاطع" sheetId="3" state="visible" r:id="rId3"/>
    <sheet xmlns:r="http://schemas.openxmlformats.org/officeDocument/2006/relationships" name="القوالب" sheetId="4" state="visible" r:id="rId4"/>
    <sheet xmlns:r="http://schemas.openxmlformats.org/officeDocument/2006/relationships" name="الناقص" sheetId="5" state="visible" r:id="rId5"/>
    <sheet xmlns:r="http://schemas.openxmlformats.org/officeDocument/2006/relationships" name="المرفوض" sheetId="6" state="visible" r:id="rId6"/>
    <sheet xmlns:r="http://schemas.openxmlformats.org/officeDocument/2006/relationships" name="المصادر" sheetId="7" state="visible" r:id="rId7"/>
    <sheet xmlns:r="http://schemas.openxmlformats.org/officeDocument/2006/relationships" name="الاحتياجات" sheetId="8" state="visible" r:id="rId8"/>
    <sheet xmlns:r="http://schemas.openxmlformats.org/officeDocument/2006/relationships" name="الملخص" sheetId="9" state="visible" r:id="rId9"/>
  </sheets>
  <definedNames>
    <definedName name="_xlnm._FilterDatabase" localSheetId="1" hidden="1">'للمراجعة'!$A$1:$Z$2</definedName>
    <definedName name="_xlnm._FilterDatabase" localSheetId="2" hidden="1">'المقاطع'!$A$1:$W$35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1"/>
    </font>
    <font>
      <name val="Arial"/>
      <sz val="10"/>
    </font>
    <font>
      <name val="Arial"/>
      <b val="1"/>
      <sz val="10"/>
    </font>
    <font>
      <name val="Arial"/>
      <b val="1"/>
      <sz val="12"/>
    </font>
    <font>
      <name val="Arial"/>
      <b val="1"/>
      <color rgb="00FFFFFF"/>
      <sz val="11"/>
    </font>
  </fonts>
  <fills count="7">
    <fill>
      <patternFill/>
    </fill>
    <fill>
      <patternFill patternType="gray125"/>
    </fill>
    <fill>
      <patternFill patternType="solid">
        <fgColor rgb="FF1F2A44"/>
      </patternFill>
    </fill>
    <fill>
      <patternFill patternType="solid">
        <fgColor rgb="FFFFF8DC"/>
      </patternFill>
    </fill>
    <fill>
      <patternFill patternType="solid">
        <fgColor rgb="FFEDEDED"/>
      </patternFill>
    </fill>
    <fill>
      <patternFill patternType="solid">
        <fgColor rgb="001F2A44"/>
      </patternFill>
    </fill>
    <fill>
      <patternFill patternType="solid">
        <fgColor rgb="00EDEDED"/>
      </patternFill>
    </fill>
  </fills>
  <borders count="3">
    <border>
      <left/>
      <right/>
      <top/>
      <bottom/>
      <diagonal/>
    </border>
    <border>
      <left style="thin">
        <color rgb="FFC9C9C9"/>
      </left>
      <right style="thin">
        <color rgb="FFC9C9C9"/>
      </right>
      <top style="thin">
        <color rgb="FFC9C9C9"/>
      </top>
      <bottom style="thin">
        <color rgb="FFC9C9C9"/>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13">
    <xf numFmtId="0" fontId="0" fillId="0" borderId="0" pivotButton="0" quotePrefix="0" xfId="0"/>
    <xf numFmtId="0" fontId="4"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xf numFmtId="0" fontId="3" fillId="0" borderId="0" applyAlignment="1" pivotButton="0" quotePrefix="0" xfId="0">
      <alignment horizontal="right" vertical="top" wrapText="1" readingOrder="2"/>
    </xf>
    <xf numFmtId="0" fontId="1" fillId="2" borderId="1" applyAlignment="1" pivotButton="0" quotePrefix="0" xfId="0">
      <alignment horizontal="center" vertical="center" wrapText="1" readingOrder="2"/>
    </xf>
    <xf numFmtId="0" fontId="3" fillId="0" borderId="1" applyAlignment="1" pivotButton="0" quotePrefix="0" xfId="0">
      <alignment horizontal="right" vertical="top" wrapText="1" readingOrder="2"/>
    </xf>
    <xf numFmtId="0" fontId="2" fillId="0" borderId="1" applyAlignment="1" pivotButton="0" quotePrefix="0" xfId="0">
      <alignment horizontal="right" vertical="top" wrapText="1" readingOrder="2"/>
    </xf>
    <xf numFmtId="0" fontId="2" fillId="4" borderId="1" applyAlignment="1" pivotButton="0" quotePrefix="0" xfId="0">
      <alignment horizontal="right" vertical="top" wrapText="1" readingOrder="2"/>
    </xf>
    <xf numFmtId="0" fontId="2" fillId="3" borderId="1" applyAlignment="1" pivotButton="0" quotePrefix="0" xfId="0">
      <alignment horizontal="right" vertical="top" wrapText="1" readingOrder="2"/>
    </xf>
    <xf numFmtId="0" fontId="5" fillId="5" borderId="0" pivotButton="0" quotePrefix="0" xfId="0"/>
    <xf numFmtId="0" fontId="3" fillId="0" borderId="2" applyAlignment="1" pivotButton="0" quotePrefix="0" xfId="0">
      <alignment horizontal="right" vertical="top" wrapText="1" readingOrder="2"/>
    </xf>
    <xf numFmtId="0" fontId="2" fillId="0" borderId="2" applyAlignment="1" pivotButton="0" quotePrefix="0" xfId="0">
      <alignment horizontal="right" vertical="top" wrapText="1" readingOrder="2"/>
    </xf>
    <xf numFmtId="0" fontId="2" fillId="6" borderId="2" applyAlignment="1" pivotButton="0" quotePrefix="0" xfId="0">
      <alignment horizontal="right" vertical="top" wrapText="1" readingOrder="2"/>
    </xf>
  </cellXfs>
  <cellStyles count="1">
    <cellStyle name="Normal" xfId="0" builtinId="0"/>
  </cellStyles>
  <dxfs count="6">
    <dxf>
      <fill>
        <patternFill patternType="solid">
          <fgColor rgb="FFF8CBAD"/>
        </patternFill>
      </fill>
    </dxf>
    <dxf>
      <font>
        <name val="Arial"/>
        <b val="1"/>
        <color rgb="FF006100"/>
      </font>
      <fill>
        <patternFill patternType="solid">
          <fgColor rgb="FFE8F5E9"/>
        </patternFill>
      </fill>
    </dxf>
    <dxf>
      <fill>
        <patternFill patternType="solid">
          <fgColor rgb="FFF8CBAD"/>
        </patternFill>
      </fill>
    </dxf>
    <dxf>
      <fill>
        <patternFill patternType="solid">
          <fgColor rgb="FFF8CBAD"/>
        </patternFill>
      </fill>
    </dxf>
    <dxf>
      <fill>
        <patternFill patternType="solid">
          <fgColor rgb="00F8CBAD"/>
        </patternFill>
      </fill>
    </dxf>
    <dxf>
      <font>
        <name val="Arial"/>
        <b val="1"/>
        <color rgb="00006100"/>
      </font>
      <fill>
        <patternFill patternType="solid">
          <f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دليل</author>
  </authors>
  <commentList>
    <comment ref="X1" authorId="0" shapeId="0">
      <text>
        <t>أسئلة قريبة من موضوع المقطع لا يجيب عنها، تفصل بينها «|». يراها الموجِّه فلا يختار المقطع لها، وتُبنى منها حالات اختبار. مسودة بمساعدة الذكاء الاصطناعي.</t>
      </text>
    </comment>
  </commentList>
</comments>
</file>

<file path=xl/comments/comment2.xml><?xml version="1.0" encoding="utf-8"?>
<comments xmlns="http://schemas.openxmlformats.org/spreadsheetml/2006/main">
  <authors>
    <author>دليل</author>
  </authors>
  <commentList>
    <comment ref="U1" authorId="0" shapeId="0">
      <text>
        <t>أسئلة قريبة من موضوع المقطع لا يجيب عنها، تفصل بينها «|». يراها الموجِّه فلا يختار المقطع لها، وتُبنى منها حالات اختبار. مسودة بمساعدة الذكاء الاصطناعي.</t>
      </text>
    </comment>
  </commentList>
</comments>
</file>

<file path=xl/comments/comment3.xml><?xml version="1.0" encoding="utf-8"?>
<comments xmlns="http://schemas.openxmlformats.org/spreadsheetml/2006/main">
  <authors>
    <author>دليل</author>
  </authors>
  <commentList>
    <comment ref="J1" authorId="0" shapeId="0">
      <text>
        <t>اختياري: رقم المقطع (أو أكثر، مثل ق-01 ق-02) الذي يُعرض عند الضغط على زر هذه الحاجة. إن تُرك فارغاً يُعرض أول مقطع «أساسي» منشور، ويختفي الزر إن لم يوجد.</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B12"/>
  <sheetViews>
    <sheetView rightToLeft="1" workbookViewId="0">
      <selection activeCell="A1" sqref="A1"/>
    </sheetView>
  </sheetViews>
  <sheetFormatPr baseColWidth="8" defaultRowHeight="14.5"/>
  <cols>
    <col width="30" customWidth="1" min="1" max="1"/>
    <col width="110" customWidth="1" min="2" max="2"/>
  </cols>
  <sheetData>
    <row r="1" ht="15.5" customHeight="1">
      <c r="A1" s="1" t="inlineStr">
        <is>
          <t>سجل «دليل» — منهجية العمل</t>
        </is>
      </c>
      <c r="B1" s="2" t="n"/>
    </row>
    <row r="2">
      <c r="A2" s="3" t="n"/>
      <c r="B2" s="2" t="n"/>
    </row>
    <row r="3">
      <c r="A3" s="3" t="inlineStr">
        <is>
          <t>1. كل جديد يدخل «للمراجعة»</t>
        </is>
      </c>
      <c r="B3" s="2" t="inlineStr">
        <is>
          <t>كل مقطع يُستخرج وكل قالب جديد أو معدّل يوضع في ورقة «للمراجعة» فقط. لا يُنشر شيء منها.</t>
        </is>
      </c>
    </row>
    <row r="4">
      <c r="A4" s="3" t="inlineStr">
        <is>
          <t>2. القرار</t>
        </is>
      </c>
      <c r="B4" s="2" t="inlineStr">
        <is>
          <t>في «للمراجعة» تكتب: القرار (معتمد / معتمد بتعديل / مرفوض)، والتعديل أو الملاحظة، والمراجع والتاريخ. المقطع الحساس يحتاج أيضاً «موافق» في عمود رأي المختص الأعلم.</t>
        </is>
      </c>
    </row>
    <row r="5" ht="25" customHeight="1">
      <c r="A5" s="3" t="inlineStr">
        <is>
          <t>3. النقل</t>
        </is>
      </c>
      <c r="B5" s="2" t="inlineStr">
        <is>
          <t>بعد القرار ينقل السكربت scripts/promote.py: «معتمد» ← إلى «المقاطع» أو «القوالب» مع ملاحظتك في «ملاحظات الاعتماد». «معتمد بتعديل» ← يُنفَّذ التعديل أولاً ثم يُنقل مع ذكر التعديل. «مرفوض» ← إلى «المرفوض» مع السبب.</t>
        </is>
      </c>
    </row>
    <row r="6">
      <c r="A6" s="3" t="inlineStr">
        <is>
          <t>4. المنشور</t>
        </is>
      </c>
      <c r="B6" s="2" t="inlineStr">
        <is>
          <t>المنتج لا يقرأ إلا «المقاطع» و«القوالب»، ويعيد التحقق من الشروط عند التصدير.</t>
        </is>
      </c>
    </row>
    <row r="7">
      <c r="A7" s="3" t="inlineStr">
        <is>
          <t>5. الناقص</t>
        </is>
      </c>
      <c r="B7" s="2" t="inlineStr">
        <is>
          <t>مقاطع مخططة لم يُستخرج نصها بعد، مع المصدر المرشح.</t>
        </is>
      </c>
    </row>
    <row r="8">
      <c r="A8" s="3" t="n"/>
      <c r="B8" s="2" t="n"/>
    </row>
    <row r="9">
      <c r="A9" s="3" t="inlineStr">
        <is>
          <t>أسس الصحة</t>
        </is>
      </c>
      <c r="B9" s="2" t="inlineStr">
        <is>
          <t>النص حرفي من موضع محدد · المصدر معتمد بعنوان ورابط · المستوى أ أو ب · مراجعة موثقة باسم وتاريخ · الحساس بموافقة المختص الأعلم · الآيات تُعرض من نص المصحف.</t>
        </is>
      </c>
    </row>
    <row r="10" ht="25" customHeight="1">
      <c r="A10" s="3" t="inlineStr">
        <is>
          <t>الفحوص السبعة (للمراجع)</t>
        </is>
      </c>
      <c r="B10" s="2" t="inlineStr">
        <is>
          <t>١ يجيب عن السؤال المنسوب · ٢ لا يحذف قيداً أو سياقاً · ٣ لا يعرض اعتراضاً دون جواب · ٤ المعرفة السابقة واضحة · ٥ النقل والمصطلحات سليمة · ٦ النص حرفي في الموضع · ٧ لا قطع في خلاف</t>
        </is>
      </c>
    </row>
    <row r="11">
      <c r="A11" s="3" t="inlineStr">
        <is>
          <t>الألوان</t>
        </is>
      </c>
      <c r="B11" s="2" t="inlineStr">
        <is>
          <t>أصفر: تكتب فيه · رمادي: معادلة · برتقالي: حساس · أخضر: صالح للنشر</t>
        </is>
      </c>
    </row>
    <row r="12">
      <c r="A12" s="3" t="inlineStr">
        <is>
          <t>النسخة</t>
        </is>
      </c>
      <c r="B12" s="2" t="inlineStr">
        <is>
          <t>v13 — 4 أكتوبر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
  <sheetViews>
    <sheetView rightToLeft="1" tabSelected="1" workbookViewId="0">
      <pane xSplit="2" ySplit="1" topLeftCell="C43" activePane="bottomRight" state="frozen"/>
      <selection pane="topRight" activeCell="A1" sqref="A1"/>
      <selection pane="bottomLeft" activeCell="A1" sqref="A1"/>
      <selection pane="bottomRight" activeCell="A57" sqref="A57"/>
    </sheetView>
  </sheetViews>
  <sheetFormatPr baseColWidth="8" defaultRowHeight="14.5"/>
  <cols>
    <col width="7" customWidth="1" min="1" max="1"/>
    <col width="8" customWidth="1" min="2" max="2"/>
    <col width="16" customWidth="1" min="3" max="3"/>
    <col width="9" customWidth="1" min="4" max="4"/>
    <col width="7" customWidth="1" min="5" max="5"/>
    <col width="26" customWidth="1" min="6" max="6"/>
    <col width="24" customWidth="1" min="7" max="7"/>
    <col width="30" customWidth="1" min="8" max="8"/>
    <col width="24" customWidth="1" min="9" max="9"/>
    <col width="26" customWidth="1" min="10" max="10"/>
    <col width="80" customWidth="1" min="11" max="11"/>
    <col width="32" customWidth="1" min="12" max="12"/>
    <col width="30" customWidth="1" min="13" max="13"/>
    <col width="7" customWidth="1" min="14" max="15"/>
    <col width="28" customWidth="1" min="16" max="16"/>
    <col width="34" customWidth="1" min="17" max="17"/>
    <col width="40" customWidth="1" min="18" max="18"/>
    <col width="13" customWidth="1" min="19" max="19"/>
    <col width="36" customWidth="1" min="20" max="20"/>
    <col width="18" customWidth="1" min="21" max="21"/>
    <col width="14" customWidth="1" min="22" max="22"/>
    <col width="10" customWidth="1" min="23" max="23"/>
    <col width="34" customWidth="1" min="24" max="24"/>
    <col width="34" customWidth="1" min="25" max="25"/>
    <col width="34" customWidth="1" min="26" max="26"/>
  </cols>
  <sheetData>
    <row r="1" ht="34" customHeight="1">
      <c r="A1" s="4" t="inlineStr">
        <is>
          <t>النوع</t>
        </is>
      </c>
      <c r="B1" s="4" t="inlineStr">
        <is>
          <t>الرقم</t>
        </is>
      </c>
      <c r="C1" s="4" t="inlineStr">
        <is>
          <t>الحاجة أو متى يُستخدم</t>
        </is>
      </c>
      <c r="D1" s="4" t="inlineStr">
        <is>
          <t>الأولوية</t>
        </is>
      </c>
      <c r="E1" s="4" t="inlineStr">
        <is>
          <t>المصدر</t>
        </is>
      </c>
      <c r="F1" s="4" t="inlineStr">
        <is>
          <t>الموضع</t>
        </is>
      </c>
      <c r="G1" s="4" t="inlineStr">
        <is>
          <t>عنوان المسألة</t>
        </is>
      </c>
      <c r="H1" s="4" t="inlineStr">
        <is>
          <t>السؤال في المصدر</t>
        </is>
      </c>
      <c r="I1" s="4" t="inlineStr">
        <is>
          <t>عبارات مشابهة</t>
        </is>
      </c>
      <c r="J1" s="4" t="inlineStr">
        <is>
          <t>مضمون السؤال</t>
        </is>
      </c>
      <c r="K1" s="4" t="inlineStr">
        <is>
          <t>النص</t>
        </is>
      </c>
      <c r="L1" s="4" t="inlineStr">
        <is>
          <t>يجيب هذا المقطع عن</t>
        </is>
      </c>
      <c r="M1" s="4" t="inlineStr">
        <is>
          <t>صياغات المستخدم</t>
        </is>
      </c>
      <c r="N1" s="4" t="inlineStr">
        <is>
          <t>المستوى</t>
        </is>
      </c>
      <c r="O1" s="4" t="inlineStr">
        <is>
          <t>حساس؟</t>
        </is>
      </c>
      <c r="P1" s="4" t="inlineStr">
        <is>
          <t>آيات وأحاديث للتوثيق</t>
        </is>
      </c>
      <c r="Q1" s="4" t="inlineStr">
        <is>
          <t>ملاحظات الاستخراج</t>
        </is>
      </c>
      <c r="R1" s="4" t="inlineStr">
        <is>
          <t>ما المطلوب من المختص</t>
        </is>
      </c>
      <c r="S1" s="4" t="inlineStr">
        <is>
          <t>القرار</t>
        </is>
      </c>
      <c r="T1" s="4" t="inlineStr">
        <is>
          <t>التعديل أو الملاحظة</t>
        </is>
      </c>
      <c r="U1" s="4" t="inlineStr">
        <is>
          <t>المراجع والتاريخ</t>
        </is>
      </c>
      <c r="V1" s="4" t="inlineStr">
        <is>
          <t>رأي المختص الأعلم</t>
        </is>
      </c>
      <c r="W1" s="4" t="inlineStr">
        <is>
          <t>لا يُجتزأ</t>
        </is>
      </c>
      <c r="X1" s="4" t="inlineStr">
        <is>
          <t>أسئلة قريبة لا يجيب عنها</t>
        </is>
      </c>
      <c r="Y1" s="9" t="inlineStr">
        <is>
          <t>للتفصيل فقط</t>
        </is>
      </c>
      <c r="Z1" s="9" t="inlineStr">
        <is>
          <t>تنبيه المراجع</t>
        </is>
      </c>
    </row>
    <row r="2" ht="150" customHeight="1"/>
    <row r="3" ht="150" customHeight="1"/>
    <row r="4" ht="150" customHeight="1"/>
    <row r="5" ht="150" customHeight="1"/>
    <row r="6" ht="150" customHeight="1"/>
    <row r="7" ht="150" customHeight="1"/>
    <row r="8" ht="150" customHeight="1"/>
    <row r="9" ht="150" customHeight="1"/>
    <row r="10" ht="150" customHeight="1"/>
    <row r="11" ht="150" customHeight="1"/>
    <row r="12" ht="150" customHeight="1"/>
    <row r="13" ht="150" customHeight="1"/>
    <row r="14" ht="150" customHeight="1"/>
    <row r="15" ht="150" customHeight="1"/>
    <row r="16" ht="150" customHeight="1"/>
    <row r="17" ht="150" customHeight="1"/>
    <row r="18" ht="150" customHeight="1"/>
    <row r="19" ht="150" customHeight="1"/>
    <row r="20" ht="150" customHeight="1"/>
    <row r="21" ht="48" customHeight="1"/>
    <row r="22" ht="48" customHeight="1"/>
    <row r="23" ht="48" customHeight="1"/>
    <row r="24" ht="48" customHeight="1"/>
    <row r="25" ht="48" customHeight="1"/>
    <row r="26" ht="48" customHeight="1"/>
    <row r="27" ht="48" customHeight="1"/>
    <row r="28" ht="48" customHeight="1"/>
    <row r="29" ht="48" customHeight="1"/>
    <row r="30" ht="48" customHeight="1"/>
    <row r="31" ht="48" customHeight="1"/>
    <row r="32" ht="48" customHeight="1"/>
    <row r="33" ht="48" customHeight="1"/>
    <row r="34" ht="48" customHeight="1"/>
    <row r="35" ht="48" customHeight="1"/>
    <row r="36" ht="48" customHeight="1"/>
    <row r="37" ht="48" customHeight="1"/>
    <row r="38" ht="48" customHeight="1"/>
    <row r="39" ht="48" customHeight="1"/>
    <row r="40" ht="48" customHeight="1"/>
    <row r="41" ht="48" customHeight="1"/>
    <row r="42" ht="48" customHeight="1"/>
    <row r="45" ht="25" customHeight="1"/>
    <row r="50" ht="34" customHeight="1"/>
    <row r="51" ht="34" customHeight="1"/>
    <row r="52" ht="34" customHeight="1"/>
    <row r="53" ht="34" customHeight="1"/>
  </sheetData>
  <autoFilter ref="A1:Z2"/>
  <conditionalFormatting sqref="O2:O300">
    <cfRule type="expression" priority="1" dxfId="0">
      <formula>$O2="نعم"</formula>
    </cfRule>
    <cfRule type="expression" priority="2" dxfId="0">
      <formula>$O2="نعم"</formula>
    </cfRule>
    <cfRule type="expression" priority="3" dxfId="4">
      <formula>$O2="نعم"</formula>
    </cfRule>
    <cfRule type="expression" priority="4" dxfId="4">
      <formula>$O2="نعم"</formula>
    </cfRule>
    <cfRule type="expression" priority="5" dxfId="4">
      <formula>$O2="نعم"</formula>
    </cfRule>
  </conditionalFormatting>
  <dataValidations count="9">
    <dataValidation sqref="S2:S300" showDropDown="0" showInputMessage="0" showErrorMessage="0" allowBlank="1" type="list">
      <formula1>"معتمد,معتمد بتعديل,مرفوض"</formula1>
    </dataValidation>
    <dataValidation sqref="V2:V300" showDropDown="0" showInputMessage="0" showErrorMessage="0" allowBlank="1" type="list">
      <formula1>"موافق,موافق بتعديل,غير موافق"</formula1>
    </dataValidation>
    <dataValidation sqref="W2:W300" showDropDown="0" showInputMessage="0" showErrorMessage="0" allowBlank="1" type="list">
      <formula1>"نعم,لا"</formula1>
    </dataValidation>
    <dataValidation sqref="S2:S300" showDropDown="0" showInputMessage="0" showErrorMessage="0" allowBlank="1" type="list">
      <formula1>"معتمد,معتمد بتعديل,مرفوض"</formula1>
    </dataValidation>
    <dataValidation sqref="V2:V300" showDropDown="0" showInputMessage="0" showErrorMessage="0" allowBlank="1" type="list">
      <formula1>"موافق,موافق بتعديل,غير موافق"</formula1>
    </dataValidation>
    <dataValidation sqref="S2:S300" showDropDown="0" showInputMessage="0" showErrorMessage="0" allowBlank="1" type="list">
      <formula1>"معتمد,معتمد بتعديل,مرفوض"</formula1>
    </dataValidation>
    <dataValidation sqref="V2:V300" showDropDown="0" showInputMessage="0" showErrorMessage="0" allowBlank="1" type="list">
      <formula1>"موافق,موافق بتعديل,غير موافق"</formula1>
    </dataValidation>
    <dataValidation sqref="S2:S300" showDropDown="0" showInputMessage="0" showErrorMessage="0" allowBlank="1" type="list">
      <formula1>"معتمد,معتمد بتعديل,مرفوض"</formula1>
    </dataValidation>
    <dataValidation sqref="V2:V300" showDropDown="0" showInputMessage="0" showErrorMessage="0" allowBlank="1" type="list">
      <formula1>"موافق,موافق بتعديل,غير موافق"</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35"/>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4.5"/>
  <cols>
    <col width="8" customWidth="1" min="1" max="1"/>
    <col width="7" customWidth="1" min="2" max="2"/>
    <col width="9" customWidth="1" min="3" max="3"/>
    <col width="7" customWidth="1" min="4" max="4"/>
    <col width="26" customWidth="1" min="5" max="5"/>
    <col width="28" customWidth="1" min="6" max="6"/>
    <col width="36" customWidth="1" min="7" max="7"/>
    <col width="28" customWidth="1" min="8" max="8"/>
    <col width="32" customWidth="1" min="9" max="9"/>
    <col width="80" customWidth="1" min="10" max="10"/>
    <col width="34" customWidth="1" min="11" max="12"/>
    <col width="7" customWidth="1" min="13" max="14"/>
    <col width="30" customWidth="1" min="15" max="15"/>
    <col width="18" customWidth="1" min="16" max="16"/>
    <col width="14" customWidth="1" min="17" max="17"/>
    <col width="40" customWidth="1" min="18" max="18"/>
    <col width="16" customWidth="1" min="19" max="19"/>
    <col width="10" customWidth="1" min="20" max="20"/>
    <col width="34" customWidth="1" min="21" max="21"/>
    <col width="34" customWidth="1" min="22" max="22"/>
    <col width="34" customWidth="1" min="23" max="23"/>
  </cols>
  <sheetData>
    <row r="1" ht="34" customHeight="1">
      <c r="A1" s="4" t="inlineStr">
        <is>
          <t>رقم</t>
        </is>
      </c>
      <c r="B1" s="4" t="inlineStr">
        <is>
          <t>الحاجة</t>
        </is>
      </c>
      <c r="C1" s="4" t="inlineStr">
        <is>
          <t>الأولوية</t>
        </is>
      </c>
      <c r="D1" s="4" t="inlineStr">
        <is>
          <t>المصدر</t>
        </is>
      </c>
      <c r="E1" s="4" t="inlineStr">
        <is>
          <t>الموضع</t>
        </is>
      </c>
      <c r="F1" s="4" t="inlineStr">
        <is>
          <t>عنوان المسألة</t>
        </is>
      </c>
      <c r="G1" s="4" t="inlineStr">
        <is>
          <t>السؤال في المصدر</t>
        </is>
      </c>
      <c r="H1" s="4" t="inlineStr">
        <is>
          <t>عبارات مشابهة</t>
        </is>
      </c>
      <c r="I1" s="4" t="inlineStr">
        <is>
          <t>مضمون السؤال</t>
        </is>
      </c>
      <c r="J1" s="4" t="inlineStr">
        <is>
          <t>النص المعتمد</t>
        </is>
      </c>
      <c r="K1" s="4" t="inlineStr">
        <is>
          <t>يجيب هذا المقطع عن</t>
        </is>
      </c>
      <c r="L1" s="4" t="inlineStr">
        <is>
          <t>صياغات المستخدم</t>
        </is>
      </c>
      <c r="M1" s="4" t="inlineStr">
        <is>
          <t>المستوى</t>
        </is>
      </c>
      <c r="N1" s="4" t="inlineStr">
        <is>
          <t>حساس؟</t>
        </is>
      </c>
      <c r="O1" s="4" t="inlineStr">
        <is>
          <t>آيات وأحاديث (توثيق)</t>
        </is>
      </c>
      <c r="P1" s="4" t="inlineStr">
        <is>
          <t>اعتمده (المراجع والتاريخ)</t>
        </is>
      </c>
      <c r="Q1" s="4" t="inlineStr">
        <is>
          <t>رأي المختص الأعلم</t>
        </is>
      </c>
      <c r="R1" s="4" t="inlineStr">
        <is>
          <t>ملاحظات الاعتماد</t>
        </is>
      </c>
      <c r="S1" s="4" t="inlineStr">
        <is>
          <t>صالح للنشر</t>
        </is>
      </c>
      <c r="T1" s="4" t="inlineStr">
        <is>
          <t>لا يُجتزأ</t>
        </is>
      </c>
      <c r="U1" s="4" t="inlineStr">
        <is>
          <t>أسئلة قريبة لا يجيب عنها</t>
        </is>
      </c>
      <c r="V1" s="9" t="inlineStr">
        <is>
          <t>للتفصيل فقط</t>
        </is>
      </c>
      <c r="W1" s="9" t="inlineStr">
        <is>
          <t>تنبيه المراجع</t>
        </is>
      </c>
    </row>
    <row r="2" ht="150" customHeight="1">
      <c r="A2" s="5" t="inlineStr">
        <is>
          <t>ق-32</t>
        </is>
      </c>
      <c r="B2" s="5" t="inlineStr">
        <is>
          <t>ح1</t>
        </is>
      </c>
      <c r="C2" s="6" t="inlineStr">
        <is>
          <t>إضافي</t>
        </is>
      </c>
      <c r="D2" s="6" t="inlineStr">
        <is>
          <t>م-01</t>
        </is>
      </c>
      <c r="E2" s="6" t="inlineStr">
        <is>
          <t>المسألة (119)، ص545–ص546 — مختصر الإجابة</t>
        </is>
      </c>
      <c r="F2" s="6" t="inlineStr">
        <is>
          <t>هل القرآن الكريم يغني عن السنة النبوية؟</t>
        </is>
      </c>
      <c r="G2" s="6" t="inlineStr">
        <is>
          <t>إن القرآن الكريم يغني عن السنة النبوية؛ ويدل على ذلك قوله تعالى: ﴿ونزلنا عليك الكتاب تبيانا لكل شيء﴾ [النحل: 89]، وقوله: ﴿ما فرطنا في الكتاب من شيء﴾ [الأنعام: 38].</t>
        </is>
      </c>
      <c r="H2" s="6" t="inlineStr">
        <is>
          <t>هل صحيح أن الدين يؤخذ من القرآن، وأما السنة النبوية، فاجتهادات شخصية؟</t>
        </is>
      </c>
      <c r="I2" s="6" t="inlineStr">
        <is>
          <t>تأتي هذه الشبهة في مقولة تظهر صاحبها في صورة المكتفي بالقرآن مصدرا للحجة والاستدلال، فإذا استدللت لحكم شرعي بدليل من السنة النبوية، قذف بهذه المقولة في وجهك، مدعيا كفاية القرآن في إقامة الدين، دون الحاجة إلى مصدر آخر.</t>
        </is>
      </c>
      <c r="J2" s="6" t="inlineStr">
        <is>
          <t>حجية السنة النبوية ثابتة بالأدلة المتنوعة من العقل والنقل؛ فالقول بعدم حجية السنة مناقض للقرآن، كما أن إنكار السنة له من اللوازم الفاسدة العائدة على الدين بالإبطال العدد الكبير؛ فإنكار السنة النبوية يؤدي إلى تعذر إقامة الدين، وإضاعة مصدر من مصادر تبيين معاني القرآن، لا عوض عنه، والطعن في النبي ﷺ بنسبته إلى الافتراء والتضليل والتلبيس، مما يؤدي إلى رد ما جاء به، مع ما فيه من قلة الأدب معه ﷺ.</t>
        </is>
      </c>
      <c r="K2" s="6" t="inlineStr">
        <is>
          <t>يبين أن السنة النبوية حجة، وأنها مصدر لتبيين معاني القرآن لا يُستغنى عنه.</t>
        </is>
      </c>
      <c r="L2" s="6" t="inlineStr">
        <is>
          <t>هل نكتفي بالقرآن عن السنة؟ | لماذا لا يكفي القرآن وحده؟ | هل السنة ضرورية لفهم القرآن؟</t>
        </is>
      </c>
      <c r="M2" s="6" t="inlineStr">
        <is>
          <t>ب</t>
        </is>
      </c>
      <c r="N2" s="6" t="inlineStr">
        <is>
          <t>نعم</t>
        </is>
      </c>
      <c r="O2" s="6" t="inlineStr">
        <is>
          <t>لا يوجد في المختصر (آيتان في نص السؤال); آية في السؤال المصدري</t>
        </is>
      </c>
      <c r="P2" s="6" t="inlineStr">
        <is>
          <t>محمد — 2026-10-04</t>
        </is>
      </c>
      <c r="Q2" s="6" t="inlineStr">
        <is>
          <t>موافق</t>
        </is>
      </c>
      <c r="R2" s="6" t="inlineStr">
        <is>
          <t>مراجعة النقل: مطابق دون ملاحظات. مقطع حساس: وافق المختص الأعلم دون تعديل (2026-10-04). [5 أكتوبر] عُدّلت بيانات التوجيه بعد مراجعة اللجنة الخارجية؛ النص المعتمد لم يتغير. «لا يُجتزأ»: مقطع حجاجي يُعرض كاملاً حتى لا تُقتطع نتيجة دون حجتها (ملاحظة اللجنة).</t>
        </is>
      </c>
      <c r="S2" s="7">
        <f>IF(A2="","",IF(OR(M2="ج",M2="د"),"المستوى لا يُنشر",IF(IFERROR(INDEX(المصادر!$F$2:$F$30,MATCH(D2,المصادر!$A$2:$A$30,0)),"")&lt;&gt;"نعم","المصدر غير معتمد",IF(OR(B2="",E2="",J2="",K2="",P2=""),"بيانات ناقصة",IF(AND(N2="نعم",Q2&lt;&gt;"موافق"),"ينقصه رأي المختص","صالح للنشر")))))</f>
        <v/>
      </c>
      <c r="T2" t="inlineStr">
        <is>
          <t>نعم</t>
        </is>
      </c>
      <c r="U2" s="7" t="inlineStr">
        <is>
          <t>ما علاقة القرآن بالكتب السابقة؟ | ما تعريف القرآن؟ | ما مكانة القرآن عند المسلمين؟ | ما علاقة الحديث بالقرآن؟ | ما الفرق بين القرآن والحديث؟</t>
        </is>
      </c>
    </row>
    <row r="3" ht="150" customHeight="1">
      <c r="A3" s="5" t="inlineStr">
        <is>
          <t>ق-29</t>
        </is>
      </c>
      <c r="B3" s="5" t="inlineStr">
        <is>
          <t>ح2</t>
        </is>
      </c>
      <c r="C3" s="6" t="inlineStr">
        <is>
          <t>إضافي</t>
        </is>
      </c>
      <c r="D3" s="6" t="inlineStr">
        <is>
          <t>م-01</t>
        </is>
      </c>
      <c r="E3" s="6" t="inlineStr">
        <is>
          <t>المسألة (40)، ص192–ص192 — مختصر الإجابة</t>
        </is>
      </c>
      <c r="F3" s="6" t="inlineStr">
        <is>
          <t>اختلاف أسلوب القرآن المكي والمدني.</t>
        </is>
      </c>
      <c r="G3" s="6" t="inlineStr">
        <is>
          <t>تغير أسلوب القرآن المدني عن القرآن المكي من الشدة إلى اللين، يدل على تأثره بالبيئة؛ وهذا يدل على أنه من فعل البشر.</t>
        </is>
      </c>
      <c r="H3" s="6" t="inlineStr">
        <is>
          <t>هل تأثر أسلوب القرآن بالبيئة التي نزل فيها؟</t>
        </is>
      </c>
      <c r="I3" s="6" t="inlineStr">
        <is>
          <t>—</t>
        </is>
      </c>
      <c r="J3" s="6" t="inlineStr">
        <is>
          <t>احتوى القرآن المكي والمدني على أسلوبي اللين والشدة معا؛ حيث نجد الشدة في القرآن المدني، واللين في القرآن المكي؛ رعاية لحال المخاطبين؛ فمن يقرأ القرآن بتأمل، يجد أن القرآن كله قام على رعاية حال المخاطبين؛ فتارة: يخاطبهم بالترغيب، وتارة: يخاطبهم بالترهيب؛ تبعا لما يقتضيه حال المخاطبين؛ سواء منهم مكيهم ومدنيهم؛ ولهذا نجد أنه لم يقل أحد من كفار قريش أو غيرهم بهذا القول المذكور في السؤال، مع إحاطتهم التامة باللغة، وحرصهم الشديد على إيجاد أي خلل في القرآن الكريم؛ خاصة مع تحديهم أن يأتوا ولو بسورة من مثله.</t>
        </is>
      </c>
      <c r="K3" s="6" t="inlineStr">
        <is>
          <t>يبين أن القرآن المكي والمدني كليهما فيه اللين والشدة، وأن الخطاب يراعي حال المخاطبين.</t>
        </is>
      </c>
      <c r="L3" s="6" t="inlineStr">
        <is>
          <t>هل القرآن المكي كله شدة والمدني كله لين؟ | لماذا يشتد خطاب القرآن أحياناً ويلين أحياناً؟</t>
        </is>
      </c>
      <c r="M3" s="6" t="inlineStr">
        <is>
          <t>ب</t>
        </is>
      </c>
      <c r="N3" s="6" t="inlineStr">
        <is>
          <t>لا</t>
        </is>
      </c>
      <c r="O3" s="6" t="inlineStr">
        <is>
          <t>لا يوجد في المختصر</t>
        </is>
      </c>
      <c r="P3" s="6" t="inlineStr">
        <is>
          <t>محمد — 2026-10-04</t>
        </is>
      </c>
      <c r="Q3" s="6" t="n"/>
      <c r="R3" s="6" t="inlineStr">
        <is>
          <t>مراجعة النقل: مطابق دون ملاحظات. [5 أكتوبر] عُدّلت بيانات التوجيه بعد مراجعة اللجنة الخارجية؛ النص المعتمد لم يتغير.</t>
        </is>
      </c>
      <c r="S3" s="7">
        <f>IF(A3="","",IF(OR(M3="ج",M3="د"),"المستوى لا يُنشر",IF(IFERROR(INDEX(المصادر!$F$2:$F$30,MATCH(D3,المصادر!$A$2:$A$30,0)),"")&lt;&gt;"نعم","المصدر غير معتمد",IF(OR(B3="",E3="",J3="",K3="",P3=""),"بيانات ناقصة",IF(AND(N3="نعم",Q3&lt;&gt;"موافق"),"ينقصه رأي المختص","صالح للنشر")))))</f>
        <v/>
      </c>
      <c r="U3" s="7" t="inlineStr">
        <is>
          <t>كيف نزل القرآن؟ | في أي شهر نزل القرآن؟ | ما معنى سورة مكية؟ | ما الفرق بين أسلوب السور المكية والمدنية؟</t>
        </is>
      </c>
    </row>
    <row r="4" ht="150" customHeight="1">
      <c r="A4" s="5" t="inlineStr">
        <is>
          <t>ق-30</t>
        </is>
      </c>
      <c r="B4" s="5" t="inlineStr">
        <is>
          <t>ح2</t>
        </is>
      </c>
      <c r="C4" s="6" t="inlineStr">
        <is>
          <t>إضافي</t>
        </is>
      </c>
      <c r="D4" s="6" t="inlineStr">
        <is>
          <t>م-01</t>
        </is>
      </c>
      <c r="E4" s="6" t="inlineStr">
        <is>
          <t>المسألة (103)، ص472–ص473 — مختصر الإجابة</t>
        </is>
      </c>
      <c r="F4" s="6" t="inlineStr">
        <is>
          <t>لماذا يكون الوحي بطرق خفية، ولا يأتي جبريل بصورته الحقيقية مبلغا الناس ما يريده؟</t>
        </is>
      </c>
      <c r="G4" s="6" t="inlineStr">
        <is>
          <t>لماذا كان الوحي بطريقة خفية؟ فالوحي عند علماء الإسلام: هو الإخبار في سرعة وخفاء؛ فلماذا لا يجعل الله إيصال ما يريده إلى النبي بطريقة واضحة وظاهرة للناس؛ كأن يرسل جبريل في صورته الحقيقية، ويبلغ الرسول بصوت واضح ما يريده؟</t>
        </is>
      </c>
      <c r="H4" s="6" t="inlineStr">
        <is>
          <t>هل الوحي يجب أن يأتي به الملك بصورته الحقيقية؟</t>
        </is>
      </c>
      <c r="I4" s="6" t="inlineStr">
        <is>
          <t>إن إرسال جبريل في صورته الحقيقية، مبلغا الرسول بصوت واضح ما يريده، هو الأمر الأولى في صور الوحي من وجهة نظر السائل، دون الطرق الخفية.</t>
        </is>
      </c>
      <c r="J4" s="6" t="inlineStr">
        <is>
          <t>إن البراهين دلت دلالة قاطعة على صدق النبوة؛ وهذا هو المطلوب للتصديق بالرسول واتباعه، وليس المطلوب معرفة الطريقة التي جاء بها الوحي.
ثم حتى لو جاء الوحي بطريقة ظاهرة، ولكنه جاء على صورة بشر؛ فما الذي سيتغير؟! سيكذبونه كما كذبوا رسول الله ﷺ.
ثم هو أيضا نوع من الاختبار؛ وإلا فالله تعالى قادر على أن ينزل الملائكة بأسواط من النار لمن يعصون الله تعالى، وأطواق من الذهب لمن يطيعونه، ولكن ذلك يخالف حكمة الابتلاء.
وعدم معرفتهم بطريقة إتيان جبريل، لا ينفي وجوده؛ لأن عدم العلم بطريقة الشيء لا يستلزم الحكم عليه بعدم الصحة، أو عدم الوقوع.</t>
        </is>
      </c>
      <c r="K4" s="6" t="inlineStr">
        <is>
          <t>يبين أن المطلوب هو التصديق بالنبوة بأدلتها، لا معرفة كيفية مجيء الوحي، وأن خفاء الطريقة من حكمة الابتلاء.</t>
        </is>
      </c>
      <c r="L4" s="6" t="inlineStr">
        <is>
          <t>لماذا لم ير الناس جبريل؟ | لماذا كان الوحي خفيا؟</t>
        </is>
      </c>
      <c r="M4" s="6" t="inlineStr">
        <is>
          <t>ب</t>
        </is>
      </c>
      <c r="N4" s="6" t="inlineStr">
        <is>
          <t>نعم</t>
        </is>
      </c>
      <c r="O4" s="6" t="inlineStr">
        <is>
          <t>—</t>
        </is>
      </c>
      <c r="P4" s="6" t="inlineStr">
        <is>
          <t>محمد — 2026-10-04</t>
        </is>
      </c>
      <c r="Q4" s="6" t="inlineStr">
        <is>
          <t>موافق</t>
        </is>
      </c>
      <c r="R4" s="6" t="inlineStr">
        <is>
          <t>مراجعة النقل: مطابق دون ملاحظات. مقطع حساس: وافق المختص الأعلم دون تعديل (2026-10-04). «لا يُجتزأ»: مقطع حجاجي يُعرض كاملاً حتى لا تُقتطع نتيجة دون حجتها (ملاحظة اللجنة).</t>
        </is>
      </c>
      <c r="S4" s="7">
        <f>IF(A4="","",IF(OR(M4="ج",M4="د"),"المستوى لا يُنشر",IF(IFERROR(INDEX(المصادر!$F$2:$F$30,MATCH(D4,المصادر!$A$2:$A$30,0)),"")&lt;&gt;"نعم","المصدر غير معتمد",IF(OR(B4="",E4="",J4="",K4="",P4=""),"بيانات ناقصة",IF(AND(N4="نعم",Q4&lt;&gt;"موافق"),"ينقصه رأي المختص","صالح للنشر")))))</f>
        <v/>
      </c>
      <c r="T4" t="inlineStr">
        <is>
          <t>نعم</t>
        </is>
      </c>
      <c r="U4" s="7" t="inlineStr">
        <is>
          <t>كيف كان الوحي يأتي النبي؟ | متى بدأ نزول الوحي؟</t>
        </is>
      </c>
    </row>
    <row r="5" ht="150" customHeight="1">
      <c r="A5" s="5" t="inlineStr">
        <is>
          <t>ق-11</t>
        </is>
      </c>
      <c r="B5" s="5" t="inlineStr">
        <is>
          <t>ح3</t>
        </is>
      </c>
      <c r="C5" s="6" t="inlineStr">
        <is>
          <t>أساسي</t>
        </is>
      </c>
      <c r="D5" s="6" t="inlineStr">
        <is>
          <t>م-01</t>
        </is>
      </c>
      <c r="E5" s="6" t="inlineStr">
        <is>
          <t>المسألة (42)، ص201–ص201 — الجواب التفصيلي</t>
        </is>
      </c>
      <c r="F5" s="6" t="inlineStr">
        <is>
          <t>ادعاء أن القرآن لم يدون كله ولم يجمع في عهد النبي ﷺ.</t>
        </is>
      </c>
      <c r="G5" s="6" t="inlineStr">
        <is>
          <t>لم يجمع القرآن كتابة في عهد النبي، وقد وقع التحريف والتبديل حين جمعه الصحابة؛ والدليل اختلافهم في بعض الآيات.</t>
        </is>
      </c>
      <c r="H5" s="6" t="inlineStr">
        <is>
          <t>جمع القرآن. | تدوين القرآن الكريم.</t>
        </is>
      </c>
      <c r="I5" s="6" t="inlineStr">
        <is>
          <t>عن تدوين القرآن وجمعه، هل تم كل ذلك في عهد النبي ﷺ، فإذا لم يحصل، كان هذا دليلا على إمكانية وقوع التحريف فيه.</t>
        </is>
      </c>
      <c r="J5" s="6" t="inlineStr">
        <is>
          <t>أولا: لقد حفظ الله القرآن لنبيه ﷺ، بطرق عديدة، منها:
1) حفظه في صدور كثير من الصحابة بعد تلقي النبي ﷺ له على مدى ثلاث عشرة سنة في مكة، وعشر سنين في المدينة.
2) وحفظه بتدوينه من قبل كتبة الوحي فور تلقي النبي ﷺ إياه.
3) ثم بمعارضة جبريل القرآن عليه كل عام مرة، ومعارضته عام وفاته له ﷺ مرتين.
4) وكتبته -وهم الصحابة- عدول ثقات، ثبتت عدالتهم بأدلة كثيرة، ولا يمكن تواطؤهم على الكذب أو الغلط في مثل هذا الأمر الذي هو أعظم ما يعنون به؛ حفظا وفهما، وتدارسا وعملا ونشرا.
5) وقد جمع القرآن كله في حياة النبي ﷺ في صحف ورقاع، مرتبا كما هو الآن، إلا أنه لم يكن في مصحف واحد.</t>
        </is>
      </c>
      <c r="K5" s="6" t="inlineStr">
        <is>
          <t>يعدد الطرق التي حُفظ بها القرآن زمن النبي ﷺ: الحفظ في صدور الصحابة، والتدوين فور النزول، ومعارضة جبريل له كل عام، وعدالة كتبته.</t>
        </is>
      </c>
      <c r="L5" s="6" t="inlineStr">
        <is>
          <t>كيف حُفظ القرآن زمن النبي؟ | هل كان الصحابة يحفظون القرآن؟ | كيف دُوّن القرآن في حياة النبي؟</t>
        </is>
      </c>
      <c r="M5" s="6" t="inlineStr">
        <is>
          <t>أ</t>
        </is>
      </c>
      <c r="N5" s="6" t="inlineStr">
        <is>
          <t>لا</t>
        </is>
      </c>
      <c r="O5" s="6" t="inlineStr">
        <is>
          <t>البند 3 يشير إلى حديث معارضة جبريل للنبي ﷺ (البخاري) دون نصه — يُوثَّق من الدرر</t>
        </is>
      </c>
      <c r="P5" s="6" t="inlineStr">
        <is>
          <t>محمد — 2026-10-04</t>
        </is>
      </c>
      <c r="Q5" s="6" t="n"/>
      <c r="R5" s="6" t="inlineStr">
        <is>
          <t>مراجعة النقل: مطابق دون ملاحظات. [5 أكتوبر] عُدّلت بيانات التوجيه بعد مراجعة اللجنة الخارجية؛ النص المعتمد لم يتغير. للمراجعة: «مرتباً كما هو الآن» هنا، وق-17 يذكر الخلاف في ترتيب السور؛ هل يحتاج توضيحاً؟</t>
        </is>
      </c>
      <c r="S5" s="7">
        <f>IF(A5="","",IF(OR(M5="ج",M5="د"),"المستوى لا يُنشر",IF(IFERROR(INDEX(المصادر!$F$2:$F$30,MATCH(D5,المصادر!$A$2:$A$30,0)),"")&lt;&gt;"نعم","المصدر غير معتمد",IF(OR(B5="",E5="",J5="",K5="",P5=""),"بيانات ناقصة",IF(AND(N5="نعم",Q5&lt;&gt;"موافق"),"ينقصه رأي المختص","صالح للنشر")))))</f>
        <v/>
      </c>
      <c r="U5" s="7" t="inlineStr">
        <is>
          <t>في أي شهر نزل القرآن؟ | هل نزل القرآن مفرقاً؟ | متى جُمع القرآن في مصحف واحد؟ | من كان يكتب الوحي؟</t>
        </is>
      </c>
    </row>
    <row r="6" ht="150" customHeight="1">
      <c r="A6" s="5" t="inlineStr">
        <is>
          <t>ق-12</t>
        </is>
      </c>
      <c r="B6" s="5" t="inlineStr">
        <is>
          <t>ح3</t>
        </is>
      </c>
      <c r="C6" s="6" t="inlineStr">
        <is>
          <t>أساسي</t>
        </is>
      </c>
      <c r="D6" s="6" t="inlineStr">
        <is>
          <t>م-01</t>
        </is>
      </c>
      <c r="E6" s="6" t="inlineStr">
        <is>
          <t>المسألة (42)، ص200–ص201 — مختصر الإجابة</t>
        </is>
      </c>
      <c r="F6" s="6" t="inlineStr">
        <is>
          <t>ادعاء أن القرآن لم يدون كله ولم يجمع في عهد النبي ﷺ.</t>
        </is>
      </c>
      <c r="G6" s="6" t="inlineStr">
        <is>
          <t>لم يجمع القرآن كتابة في عهد النبي، وقد وقع التحريف والتبديل حين جمعه الصحابة؛ والدليل اختلافهم في بعض الآيات.</t>
        </is>
      </c>
      <c r="H6" s="6" t="inlineStr">
        <is>
          <t>جمع القرآن. | تدوين القرآن الكريم.</t>
        </is>
      </c>
      <c r="I6" s="6" t="inlineStr">
        <is>
          <t>عن تدوين القرآن وجمعه، هل تم كل ذلك في عهد النبي ﷺ، فإذا لم يحصل، كان هذا دليلا على إمكانية وقوع التحريف فيه.</t>
        </is>
      </c>
      <c r="J6" s="6" t="inlineStr">
        <is>
          <t>حفظ الله سبحانه كتابه الكريم؛ وهذا هو الضمان الأول والأقوى، وعدم جمع القرآن في مصحف واحد في عهد النبي كان لعدم اكتماله بعد آنذاك.
وقد كتب القرآن الكريم ثلاث مرات:
مرة: في حياة النبي ﷺ في صحف ورقاع، مرتبة آياته كما هي الآن، إلا أنه لم يكن في مصحف واحد؛ لأنه لم يكن اكتمل بعد إلى قرب وفاته ﷺ، ولم يكن المسلمون يحتاجون لجمعه والنبي ﷺ بين ظهرانيهم، وكان الكثير من الصحابة يحفظونه في صدورهم.
وثانية: في عهد أبي بكر رضي الله عنه.
وثالثة: في عهد عثمان رضي الله عنه.
وقد تم جمع القرآن الكريم في مصحف واحد في عهد عثمان وفق منهج علمي محكم كان غاية في الدقة، ووفق ضوابط بالغة الإتقان يلفها الحرص من كل جانب؛ بحيث لم يقبل الصحابة غير قطعي الثبوت، ويأبى عليهم دينهم وعقلهم أن يثبتوا ما ليس بقطعي.
وكان من نتيجة ذلك الجهد العظيم: أن القرآن الذي نقرؤه اليوم هو القرآن نفسه الذي نزل على الرسول ﷺ، ولم يتغير حرف واحد فيه؛ وذلك بشهادة الكثير من أهل الغرب أنفسهم من أصحاب الدراسات الدينية المقارنة؛ والحمد لله رب العالمين.</t>
        </is>
      </c>
      <c r="K6" s="6" t="inlineStr">
        <is>
          <t>يبين أن القرآن كُتب ثلاث مرات: في حياة النبي ﷺ في صحف متفرقة، ثم في عهد أبي بكر، ثم جُمع في مصحف واحد في عهد عثمان رضي الله عنهما.</t>
        </is>
      </c>
      <c r="L6" s="6" t="inlineStr">
        <is>
          <t>كيف جُمع القرآن؟ | لماذا لم يُجمع القرآن في كتاب واحد زمن النبي؟ | متى كُتب القرآن؟</t>
        </is>
      </c>
      <c r="M6" s="6" t="inlineStr">
        <is>
          <t>أ</t>
        </is>
      </c>
      <c r="N6" s="6" t="inlineStr">
        <is>
          <t>لا</t>
        </is>
      </c>
      <c r="O6" s="6" t="inlineStr">
        <is>
          <t>—</t>
        </is>
      </c>
      <c r="P6" s="6" t="inlineStr">
        <is>
          <t>محمد — 2026-10-04</t>
        </is>
      </c>
      <c r="Q6" s="6" t="n"/>
      <c r="R6" s="6" t="inlineStr">
        <is>
          <t>مراجعة النقل: مطابق دون ملاحظات.</t>
        </is>
      </c>
      <c r="S6" s="7">
        <f>IF(A6="","",IF(OR(M6="ج",M6="د"),"المستوى لا يُنشر",IF(IFERROR(INDEX(المصادر!$F$2:$F$30,MATCH(D6,المصادر!$A$2:$A$30,0)),"")&lt;&gt;"نعم","المصدر غير معتمد",IF(OR(B6="",E6="",J6="",K6="",P6=""),"بيانات ناقصة",IF(AND(N6="نعم",Q6&lt;&gt;"موافق"),"ينقصه رأي المختص","صالح للنشر")))))</f>
        <v/>
      </c>
      <c r="U6" s="7" t="inlineStr">
        <is>
          <t>كيف كان الوحي ينزل على النبي؟ | كم عدد الحفاظ من الصحابة؟</t>
        </is>
      </c>
    </row>
    <row r="7" ht="150" customHeight="1">
      <c r="A7" s="5" t="inlineStr">
        <is>
          <t>ق-13</t>
        </is>
      </c>
      <c r="B7" s="5" t="inlineStr">
        <is>
          <t>ح3</t>
        </is>
      </c>
      <c r="C7" s="6" t="inlineStr">
        <is>
          <t>إضافي</t>
        </is>
      </c>
      <c r="D7" s="6" t="inlineStr">
        <is>
          <t>م-01</t>
        </is>
      </c>
      <c r="E7" s="6" t="inlineStr">
        <is>
          <t>المسألة (48)، ص225–ص226 — مختصر الإجابة</t>
        </is>
      </c>
      <c r="F7" s="6" t="inlineStr">
        <is>
          <t>هل ضاع شيء من القرآن الذي سمعه الصحابة من النبي ﷺ؛ بسبب جمع عثمان للقرآن؟</t>
        </is>
      </c>
      <c r="G7" s="6" t="inlineStr">
        <is>
          <t>هل ضاع شيء من القرآن الذي سمعه الصحابة من النبي ﷺ؛ بسبب جمع عثمان للقرآن؟</t>
        </is>
      </c>
      <c r="H7" s="6" t="inlineStr">
        <is>
          <t>ألم يكن في إلزام عثمان للصحابة بمصحف واحد، وترك ما بأيديهم، ترك لما سمعوه من النبي على أنه قرآن؟</t>
        </is>
      </c>
      <c r="I7" s="6" t="inlineStr">
        <is>
          <t>—</t>
        </is>
      </c>
      <c r="J7" s="6" t="inlineStr">
        <is>
          <t>لم ينفرد عثمان بن عفان رضي الله عنه بقرار جمع المسلمين على مصحف واحد؛ بل كان القرار باجتماع عدد من الصحابة العدول الثقات، وقد وافقه على ذلك وأقره بقية الصحابة؛ وعلى هذا سارت الأمة الإسلامية.
وقد كان الغرض من ذلك الجمع: هو منع انتشار الفتنة بين المسلمين نتيجة اختلاف قراءاتهم للقرآن؛ وهذه مصلحة عظيمة.
ولذلك: فقد تم جمع القرآن لأسباب وجيهة، وكان وفق معايير صارمة؛ وهو ما تميزت به تلك العملية من مزايا؛ ومنها:
1) أن يقتصر الجمع على ما ثبت في العرضة الأخيرة.
2) عدم جمع ما نسخت تلاوته.
3) جميع من شهد الجمع من الصحابة شاركوا فيه.
4) يدخل في الجمع ما ثبت بالتواتر فحسب، وأهملت روايات الآحاد.
5) تم ترتيب السور والآيات على الصورة التي لدينا الآن.
وغير ذلك من المزايا التي جعلت ذلك العمل من أهم الأعمال وأكثرها قيمة في تاريخ الإسلام.</t>
        </is>
      </c>
      <c r="K7" s="6" t="inlineStr">
        <is>
          <t>يوضح أن جمع عثمان رضي الله عنه للناس على مصحف واحد كان باتفاق الصحابة لمنع الاختلاف، ويذكر ضوابط ذلك الجمع.</t>
        </is>
      </c>
      <c r="L7" s="6" t="inlineStr">
        <is>
          <t>لماذا جمع عثمان القرآن؟ | هل ضاع شيء من القرآن بجمع عثمان؟ | لماذا جمع عثمان الناس على مصحف واحد؟</t>
        </is>
      </c>
      <c r="M7" s="6" t="inlineStr">
        <is>
          <t>ب</t>
        </is>
      </c>
      <c r="N7" s="6" t="inlineStr">
        <is>
          <t>نعم</t>
        </is>
      </c>
      <c r="O7" s="6" t="inlineStr">
        <is>
          <t>—</t>
        </is>
      </c>
      <c r="P7" s="6" t="inlineStr">
        <is>
          <t>محمد — 2026-10-04</t>
        </is>
      </c>
      <c r="Q7" s="6" t="inlineStr">
        <is>
          <t>موافق</t>
        </is>
      </c>
      <c r="R7" s="6" t="inlineStr">
        <is>
          <t>مراجعة النقل: مطابق دون ملاحظات. مقطع حساس: وافق المختص الأعلم دون تعديل (2026-10-04). [5 أكتوبر] عُدّلت بيانات التوجيه بعد مراجعة اللجنة الخارجية؛ النص المعتمد لم يتغير. «لا يُجتزأ»: مقطع حجاجي يُعرض كاملاً حتى لا تُقتطع نتيجة دون حجتها (ملاحظة اللجنة).</t>
        </is>
      </c>
      <c r="S7" s="7">
        <f>IF(A7="","",IF(OR(M7="ج",M7="د"),"المستوى لا يُنشر",IF(IFERROR(INDEX(المصادر!$F$2:$F$30,MATCH(D7,المصادر!$A$2:$A$30,0)),"")&lt;&gt;"نعم","المصدر غير معتمد",IF(OR(B7="",E7="",J7="",K7="",P7=""),"بيانات ناقصة",IF(AND(N7="نعم",Q7&lt;&gt;"موافق"),"ينقصه رأي المختص","صالح للنشر")))))</f>
        <v/>
      </c>
      <c r="T7" t="inlineStr">
        <is>
          <t>نعم</t>
        </is>
      </c>
      <c r="U7" s="7" t="inlineStr">
        <is>
          <t>كيف كُتب القرآن زمن النبي؟ | ما القراءات؟ | ما الفرق بين جمع أبي بكر وجمع عثمان؟</t>
        </is>
      </c>
    </row>
    <row r="8" ht="150" customHeight="1">
      <c r="A8" s="5" t="inlineStr">
        <is>
          <t>ق-14</t>
        </is>
      </c>
      <c r="B8" s="5" t="inlineStr">
        <is>
          <t>ح3</t>
        </is>
      </c>
      <c r="C8" s="6" t="inlineStr">
        <is>
          <t>إضافي</t>
        </is>
      </c>
      <c r="D8" s="6" t="inlineStr">
        <is>
          <t>م-01</t>
        </is>
      </c>
      <c r="E8" s="6" t="inlineStr">
        <is>
          <t>المسألة (43)، ص204–ص205 — مختصر الإجابة</t>
        </is>
      </c>
      <c r="F8" s="6" t="inlineStr">
        <is>
          <t>ادعاء أن نقل الصحابة للقرآن نقل آحادي لا متواتر.</t>
        </is>
      </c>
      <c r="G8" s="6" t="inlineStr">
        <is>
          <t>جاءت روايات تدل أن القرآن الكريم أخذ عن عدد قليل من الصحابة لا يتجاوز أصابع اليد؛ وهذا يبطل دعوى تواتره.
كما في «الصحيحين»، عن أنس بن مالك، قال: «جمع القرآن على عهد النبي ﷺ أربعة، كلهم من الأنصار: أبي بن كعب، ومعاذ بن جبل، وزيد بن ثابت، وأبو زيد».</t>
        </is>
      </c>
      <c r="H8" s="6" t="inlineStr">
        <is>
          <t>هل ثبت أن القرآن متواتر؟ | كم عدد الصحابة الذين نقلوا القرآن؟</t>
        </is>
      </c>
      <c r="I8" s="6" t="inlineStr">
        <is>
          <t>يدور السؤال حول نقل الصحابة للقرآن الكريم، وهل تحقق وفق شروط التواتر؛ لوجود مرويات حددت أعدادا محدودة من الصحابة يؤخذ عنهم القرآن؟</t>
        </is>
      </c>
      <c r="J8" s="6" t="inlineStr">
        <is>
          <t>1) الروايات التي تحصر أخذ القرآن أو حفظه بعدد محدد من الصحابة، ليس فيها معنى الحصر الذي يراد نفي ما سواه؛ فهي تفهم بالروايات الأخرى الصحيحة الدالة على أن عددهم كثير.
وأما روايات حصر حفظة القرآن بعدد محدد، فلها وجوه تفهم من السياق ومن النصوص الأخرى؛ كأن يكون المقصود التمثيل لا الحصر، أو ذكر المتقدمين من حفظة القرآن، أو ذكر من جمع القرآن مكتوبا لنفسه، أو من جمعه على الوجوه والأحرف المختلفة.
2) واقع الصحابة في حرصهم الشديد على حفظ كتاب الله سبحانه في الصدور والسطور، واهتمامهم به، وتنافسهم فيه، ونقل بعضهم عن بعض، بل ارتبطت حياتهم كلها في ليلهم ونهارهم بآيات القرآن رباطا وثيقا -: يبطل هذه الدعوى.</t>
        </is>
      </c>
      <c r="K8" s="6" t="inlineStr">
        <is>
          <t>يبين أن حفظة القرآن من الصحابة كانوا كثيرين، وأن الروايات التي تذكر عددا قليلا لا يُقصد بها الحصر.</t>
        </is>
      </c>
      <c r="L8" s="6" t="inlineStr">
        <is>
          <t>كم عدد الصحابة الذين حفظوا القرآن؟ | هل نُقل القرآن عن عدد قليل؟ | كيف وصل القرآن إلينا؟</t>
        </is>
      </c>
      <c r="M8" s="6" t="inlineStr">
        <is>
          <t>ب</t>
        </is>
      </c>
      <c r="N8" s="6" t="inlineStr">
        <is>
          <t>نعم</t>
        </is>
      </c>
      <c r="O8" s="6" t="inlineStr">
        <is>
          <t>يشير إلى روايات الحصر (حديث أنس في الصحيحين، مذكور في السؤال لا في المقطع); حديث أنس في السؤال المصدري</t>
        </is>
      </c>
      <c r="P8" s="6" t="inlineStr">
        <is>
          <t>محمد — 2026-10-04</t>
        </is>
      </c>
      <c r="Q8" s="6" t="inlineStr">
        <is>
          <t>موافق</t>
        </is>
      </c>
      <c r="R8" s="6" t="inlineStr">
        <is>
          <t>مراجعة النقل: مطابق دون ملاحظات. مقطع حساس: وافق المختص الأعلم دون تعديل (2026-10-04). «لا يُجتزأ»: مقطع حجاجي يُعرض كاملاً حتى لا تُقتطع نتيجة دون حجتها (ملاحظة اللجنة).</t>
        </is>
      </c>
      <c r="S8" s="7">
        <f>IF(A8="","",IF(OR(M8="ج",M8="د"),"المستوى لا يُنشر",IF(IFERROR(INDEX(المصادر!$F$2:$F$30,MATCH(D8,المصادر!$A$2:$A$30,0)),"")&lt;&gt;"نعم","المصدر غير معتمد",IF(OR(B8="",E8="",J8="",K8="",P8=""),"بيانات ناقصة",IF(AND(N8="نعم",Q8&lt;&gt;"موافق"),"ينقصه رأي المختص","صالح للنشر")))))</f>
        <v/>
      </c>
      <c r="T8" t="inlineStr">
        <is>
          <t>نعم</t>
        </is>
      </c>
      <c r="U8" s="7" t="inlineStr">
        <is>
          <t>كيف جمع عثمان القرآن؟ | كيف أحفظ القرآن؟</t>
        </is>
      </c>
    </row>
    <row r="9" ht="150" customHeight="1">
      <c r="A9" s="5" t="inlineStr">
        <is>
          <t>ق-17</t>
        </is>
      </c>
      <c r="B9" s="5" t="inlineStr">
        <is>
          <t>ح4</t>
        </is>
      </c>
      <c r="C9" s="6" t="inlineStr">
        <is>
          <t>أساسي</t>
        </is>
      </c>
      <c r="D9" s="6" t="inlineStr">
        <is>
          <t>م-01</t>
        </is>
      </c>
      <c r="E9" s="6" t="inlineStr">
        <is>
          <t>المسألة (54)، ص249–ص250 — مختصر الإجابة</t>
        </is>
      </c>
      <c r="F9" s="6" t="inlineStr">
        <is>
          <t>ادعاء أن ترتيب آيات القرآن من فعل الصحابة.</t>
        </is>
      </c>
      <c r="G9" s="6" t="inlineStr">
        <is>
          <t>ما دام الصحابة قد رتبوا آيات القرآن؛ فهذا دليل على تحريفهم لآيات القرآن؛ كما يمكن بسبب ذلك وقوع الأخطاء فيه، والإدخال عليه.</t>
        </is>
      </c>
      <c r="H9" s="6" t="inlineStr">
        <is>
          <t>ترتيب آيات القرآن. | ترتيب الصحابة للمصحف.</t>
        </is>
      </c>
      <c r="I9" s="6" t="inlineStr">
        <is>
          <t>بحسب وجهة نظر صاحب السؤال: لم تكن هناك دقة لدى الصحابة في تلقيهم القرآن عن رسول الله ﷺ، وهو يستبعد أن يكونوا قد حافظوا عليه، وعلى ترتيب آياته وسوره، وفق ما سمعوه من الرسول ﷺ.</t>
        </is>
      </c>
      <c r="J9" s="6" t="inlineStr">
        <is>
          <t>يزول هذا الإشكال من خلال معرفة الحال التي جرى عليها كتابة المصحف وترتيبه؛ فترتيب الآيات والسور كان وفق إرادة الله وحده؛ أوحاه لنبيه ﷺ، ووفقه إليه، وسار عليه صحابته رضوان الله عليهم من بعده؛ وذلك كالتالي:
1) ترتيب الآيات في كل سورة أمر توقيفي من الله تعالى، ومن النبي ﷺ، وقراءة الرسول ﷺ للآيات بالترتيب الذي أوحاه له جبريل، بينت موضع كل آية في كل سور القرآن.
2) أما ترتيب السور في المصحف، فمختلف في كونه توقيفيا؛ فقد قال بعضهم: إن كل سورة مستقلة بإعجازها، وأما ترتيبها، فموكول إلى الناس، لكن يظهر أنه أمر توقيفي أيضا، وقد توافق عليه الصحابة آخر الأمر؛ وهو مذهب جمهور العلماء.
ووجود اختلاف بين الصحابة في بعض ذلك، فربما لأن بعضهم ظنها أمرا اجتهاديا، أو لأنه رتبه على ما سمعه من النبي ﷺ، دون ما كان في آخر عرضة للقرآن؛ لأن جبريل كان يدارس النبي ﷺ القرآن كل عام.
ولو افترض تدخل الصحابة في الترتيب، فلا يدل على التحريف، ولا على ضعف معانيه، وليس له أي أثر في وقوع تحريف أو سقط أو زيادة، بل غاية ما فيه: تقديم بعض المواضع على بعض؛ مما لا يتعلق بذات النص.</t>
        </is>
      </c>
      <c r="K9" s="6" t="inlineStr">
        <is>
          <t>يبين أن ترتيب الآيات داخل كل سورة من الوحي، ويذكر خلاف العلماء في ترتيب السور وأن الجمهور على أنه توقيفي.</t>
        </is>
      </c>
      <c r="L9" s="6" t="inlineStr">
        <is>
          <t>من رتّب سور القرآن؟ | لماذا ترتيب المصحف ليس بحسب النزول؟ | هل ترتيب الآيات من الصحابة؟</t>
        </is>
      </c>
      <c r="M9" s="6" t="inlineStr">
        <is>
          <t>ب</t>
        </is>
      </c>
      <c r="N9" s="6" t="inlineStr">
        <is>
          <t>نعم</t>
        </is>
      </c>
      <c r="O9" s="6" t="inlineStr">
        <is>
          <t>يشير إلى مدارسة جبريل للنبي ﷺ القرآن كل عام (البخاري) دون نصه</t>
        </is>
      </c>
      <c r="P9" s="6" t="inlineStr">
        <is>
          <t>محمد — 2026-10-04</t>
        </is>
      </c>
      <c r="Q9" s="6" t="inlineStr">
        <is>
          <t>موافق</t>
        </is>
      </c>
      <c r="R9" s="6" t="inlineStr">
        <is>
          <t>مراجعة النقل: مطابق دون ملاحظات. مقطع حساس: وافق المختص الأعلم دون تعديل (2026-10-04). «لا يُجتزأ»: مقطع حجاجي يُعرض كاملاً حتى لا تُقتطع نتيجة دون حجتها (ملاحظة اللجنة).</t>
        </is>
      </c>
      <c r="S9" s="7">
        <f>IF(A9="","",IF(OR(M9="ج",M9="د"),"المستوى لا يُنشر",IF(IFERROR(INDEX(المصادر!$F$2:$F$30,MATCH(D9,المصادر!$A$2:$A$30,0)),"")&lt;&gt;"نعم","المصدر غير معتمد",IF(OR(B9="",E9="",J9="",K9="",P9=""),"بيانات ناقصة",IF(AND(N9="نعم",Q9&lt;&gt;"موافق"),"ينقصه رأي المختص","صالح للنشر")))))</f>
        <v/>
      </c>
      <c r="T9" t="inlineStr">
        <is>
          <t>نعم</t>
        </is>
      </c>
      <c r="U9" s="7" t="inlineStr">
        <is>
          <t>كم عدد سور القرآن؟ | لماذا تتنقل السورة بين موضوعات مختلفة؟</t>
        </is>
      </c>
    </row>
    <row r="10" ht="150" customHeight="1">
      <c r="A10" s="5" t="inlineStr">
        <is>
          <t>ق-28</t>
        </is>
      </c>
      <c r="B10" s="5" t="inlineStr">
        <is>
          <t>ح4</t>
        </is>
      </c>
      <c r="C10" s="6" t="inlineStr">
        <is>
          <t>إضافي</t>
        </is>
      </c>
      <c r="D10" s="6" t="inlineStr">
        <is>
          <t>م-01</t>
        </is>
      </c>
      <c r="E10" s="6" t="inlineStr">
        <is>
          <t>المسألة (53)، ص246–ص246 — مختصر الإجابة</t>
        </is>
      </c>
      <c r="F10" s="6" t="inlineStr">
        <is>
          <t>ادعاء أن آيات القرآن وسوره غير مرتبة.</t>
        </is>
      </c>
      <c r="G10" s="6" t="inlineStr">
        <is>
          <t>القرآن غير مرتب ولا منظم؛ سواء على المواضيع أو الأزمنة، فلم يفرد كل غرض من أغراضه بفصل أو باب أو زمن نزول، غير مراعى فيه نظام التأليف؛ فيبعد أن يكون وحيا من الله.</t>
        </is>
      </c>
      <c r="H10" s="6" t="inlineStr">
        <is>
          <t>لماذا ترتيب القرآن وتنظيمه وترتيب مواضيعه، ليس مثل الكتب المرتبة موضوعيا أو زمنيا؟</t>
        </is>
      </c>
      <c r="I10" s="6" t="inlineStr">
        <is>
          <t>—</t>
        </is>
      </c>
      <c r="J10" s="6" t="inlineStr">
        <is>
          <t>ترتيب القرآن الكريم له حكمته الخاصة.
وكون القرآن الكريم لا يشابه أي كتب بشرية، في أنظمتها، وأسلوبها، فليس في ذلك أي قدح، إنما القدح لو كان ذلك سببا للنقص، وغيره أولى به.
بل ذكر العلماء في ذلك وجوها تبين كماله، وأنه كلام الله، لا كلام البشر؛ فالتصنيف قد يؤطر المعاني، ثم قد يوهم انفصال المعاني بعضها عن بعض، لكنه جاء بهذا النظم المعجز الذي يأخذ بالألباب، ويثير فيها المعاني المختلفة، ولا يفصل الفكرة عن السلوك، ولا عن المشاعر، ولغير ذلك من الحكم؛ وهذا غاية الكمال الذي يقتضي المدح والمزية، وأنه كتاب سماوي منزل من عند الله سبحانه، وقد ظنه السائل نقصا مقتضيا للطعن والذم، وأنه من صنع البشر.</t>
        </is>
      </c>
      <c r="K10" s="6" t="inlineStr">
        <is>
          <t>يبين أن ترتيب القرآن غير الموضوعي له حكمة، وأن مزج الموضوعات في السورة الواحدة من كماله لا نقصه.</t>
        </is>
      </c>
      <c r="L10" s="6" t="inlineStr">
        <is>
          <t>لماذا لا يُقسَّم القرآن إلى فصول؟ | لماذا تتنقل السورة بين موضوعات مختلفة؟</t>
        </is>
      </c>
      <c r="M10" s="6" t="inlineStr">
        <is>
          <t>ب</t>
        </is>
      </c>
      <c r="N10" s="6" t="inlineStr">
        <is>
          <t>لا</t>
        </is>
      </c>
      <c r="O10" s="6" t="inlineStr">
        <is>
          <t>—</t>
        </is>
      </c>
      <c r="P10" s="6" t="inlineStr">
        <is>
          <t>محمد — 2026-10-04</t>
        </is>
      </c>
      <c r="Q10" s="6" t="n"/>
      <c r="R10" s="6" t="inlineStr">
        <is>
          <t>مراجعة النقل: مطابق دون ملاحظات.</t>
        </is>
      </c>
      <c r="S10" s="7">
        <f>IF(A10="","",IF(OR(M10="ج",M10="د"),"المستوى لا يُنشر",IF(IFERROR(INDEX(المصادر!$F$2:$F$30,MATCH(D10,المصادر!$A$2:$A$30,0)),"")&lt;&gt;"نعم","المصدر غير معتمد",IF(OR(B10="",E10="",J10="",K10="",P10=""),"بيانات ناقصة",IF(AND(N10="نعم",Q10&lt;&gt;"موافق"),"ينقصه رأي المختص","صالح للنشر")))))</f>
        <v/>
      </c>
      <c r="U10" s="7" t="inlineStr">
        <is>
          <t>من رتّب سور القرآن؟ | ما أبرز موضوعات القرآن؟</t>
        </is>
      </c>
    </row>
    <row r="11" ht="150" customHeight="1">
      <c r="A11" s="5" t="inlineStr">
        <is>
          <t>ق-31</t>
        </is>
      </c>
      <c r="B11" s="5" t="inlineStr">
        <is>
          <t>ح6</t>
        </is>
      </c>
      <c r="C11" s="6" t="inlineStr">
        <is>
          <t>إضافي</t>
        </is>
      </c>
      <c r="D11" s="6" t="inlineStr">
        <is>
          <t>م-01</t>
        </is>
      </c>
      <c r="E11" s="6" t="inlineStr">
        <is>
          <t>المسألة (94)، ص423–ص424 — مختصر الإجابة</t>
        </is>
      </c>
      <c r="F11" s="6" t="inlineStr">
        <is>
          <t>عدم موافقة ترجمة القرآن لجميع معانيه.</t>
        </is>
      </c>
      <c r="G11" s="6" t="inlineStr">
        <is>
          <t>لا يمكن أن يكون القرآن بلاغا للعالمين؛ لأنه لا يمكن تفسيره؛ لأن الترجمة الحرفية غير ممكنة؛ لاختلاف اللغتين في طريق توصيل المعنى، وكذلك التفسير بالمعنى سيكون قاصرا عن تأدية جميع معاني القرآن؛ وفي كلا الحالين: سيكون التفسير ناقصا، وبالتالي يكون مقتصرا على العرب الفصحاء، وليس بلاغا للعالمين.</t>
        </is>
      </c>
      <c r="H11" s="6" t="inlineStr">
        <is>
          <t>لماذا لا تطابق ترجمة القرآن جميع معانيه؟</t>
        </is>
      </c>
      <c r="I11" s="6" t="inlineStr">
        <is>
          <t>—</t>
        </is>
      </c>
      <c r="J11" s="6" t="inlineStr">
        <is>
          <t>الترجمة الصحيحة تؤدي المطلوب، وتجعل الآية تلتئم مع ما قبلها، ومع ما بعدها؛ فهذه الدعوى في السؤال لا تصح؛ ويظهر ذلك بأمور:
1) الإسلام دين للعالم أجمع، ورسوله بعث للعالمين، والبلاغ شرط لزوم الرسالة؛ فلا بد من ترجمة معاني القرآن بلسان تلك الأمم؛ من أجل دعوتهم وإلزامهم الحجة؛ فلترجمة معاني القرآن الكريم فوائد جمة تعود للداعي والمدعو والدعوة، ولا ينبغي تركها لمثل هذه الأسباب.
2) تفسير القرآن بلسان أعجمي، له نفس حكم تفسيره بلسان عربي؛ فالمفسر يقدم في الحالتين ما فهمه من كتاب الله، بلغة يفهمها من يخاطبهم، ولا يقدم ترجمة القرآن نفسه؛ وفي كلتا الحالتين: حكاية لما يستطاع من المقاصد لتفسير القرآن، وليس كل المقاصد؛ فيكفي في تحقق ذلك أن يكون بيانا لمراد الله، حتى ولو جاء على احتمال واحد؛ فالتفسير العربي لا يتطلب كل الأمور التي ذكرت في السؤال.
3) ما لا يطلب في التفسير العربي لا يطلب في الترجمة من باب أولى؛ لأن التفسير بيان لأحد الأوجه، لا لجميع الأوجه؛ ولذلك تنوعت التفاسير.</t>
        </is>
      </c>
      <c r="K11" s="6" t="inlineStr">
        <is>
          <t>يبين أن ترجمة معاني القرآن نوع من التفسير بلغة أخرى، تنقل ما فهمه المترجم لا نص القرآن نفسه.</t>
        </is>
      </c>
      <c r="L11" s="6" t="inlineStr">
        <is>
          <t>هل الترجمة هي القرآن؟ | هل أستطيع فهم القرآن من ترجمة؟</t>
        </is>
      </c>
      <c r="M11" s="6" t="inlineStr">
        <is>
          <t>ب</t>
        </is>
      </c>
      <c r="N11" s="6" t="inlineStr">
        <is>
          <t>لا</t>
        </is>
      </c>
      <c r="O11" s="6" t="inlineStr">
        <is>
          <t>—</t>
        </is>
      </c>
      <c r="P11" s="6" t="inlineStr">
        <is>
          <t>محمد — 2026-10-04</t>
        </is>
      </c>
      <c r="Q11" s="6" t="n"/>
      <c r="R11" s="6" t="inlineStr">
        <is>
          <t>مراجعة النقل: مطابق دون ملاحظات.</t>
        </is>
      </c>
      <c r="S11" s="7">
        <f>IF(A11="","",IF(OR(M11="ج",M11="د"),"المستوى لا يُنشر",IF(IFERROR(INDEX(المصادر!$F$2:$F$30,MATCH(D11,المصادر!$A$2:$A$30,0)),"")&lt;&gt;"نعم","المصدر غير معتمد",IF(OR(B11="",E11="",J11="",K11="",P11=""),"بيانات ناقصة",IF(AND(N11="نعم",Q11&lt;&gt;"موافق"),"ينقصه رأي المختص","صالح للنشر")))))</f>
        <v/>
      </c>
      <c r="U11" s="7" t="inlineStr">
        <is>
          <t>ما أفضل ترجمة للقرآن؟ | ما هو التفسير؟ | هل تجوز الصلاة بترجمة القرآن؟</t>
        </is>
      </c>
    </row>
    <row r="12" ht="150" customHeight="1">
      <c r="A12" s="5" t="inlineStr">
        <is>
          <t>ق-23</t>
        </is>
      </c>
      <c r="B12" s="5" t="inlineStr">
        <is>
          <t>ح7</t>
        </is>
      </c>
      <c r="C12" s="6" t="inlineStr">
        <is>
          <t>أساسي</t>
        </is>
      </c>
      <c r="D12" s="6" t="inlineStr">
        <is>
          <t>م-01</t>
        </is>
      </c>
      <c r="E12" s="6" t="inlineStr">
        <is>
          <t>المسألة (84)، ص377–ص378 — مختصر الإجابة</t>
        </is>
      </c>
      <c r="F12" s="6" t="inlineStr">
        <is>
          <t>تحدى القرآن البشر أن يأتوا بمثله، مع وجود كلام في غاية البلاغة للبشر.</t>
        </is>
      </c>
      <c r="G12" s="6" t="inlineStr">
        <is>
          <t>تحدى القرآن البشر أن يأتوا بمثله، وقد رأينا في كلام كثير من الناس والشعراء غاية البلاغة؛ أفلا يستطيع هؤلاء أن يأتوا بمثل القرآن؟</t>
        </is>
      </c>
      <c r="H12" s="6" t="inlineStr">
        <is>
          <t>إعجاز القرآن. | القول بالصرفة. | القرآن تحدى بلغاء العرب.</t>
        </is>
      </c>
      <c r="I12" s="6" t="inlineStr">
        <is>
          <t>صاحب هذا السؤال يرى أن القرآن قد تحدى البشر أن يأتوا بمثله، والبلغاء والشعراء لهم كلام غاية في البلاغة؛ فهم يستطيعون أن يأتوا بمثله.</t>
        </is>
      </c>
      <c r="J12" s="6" t="inlineStr">
        <is>
          <t>إن كلام البلغاء والشعراء فيه كثير من أوجه البلاغة، ولكنه مهما بلغ في البلاغة مبلغا بعيدا، إلا أنه ورد عليه الكثير من «النقد والنقض»؛ فمثلا: المتنبي - وهو من هو بلاغة وفصاحة - قد صنفت المصنفات في نقد شعره؛ بل هناك باب كبير متخصص يعرف بـ «النقد الأدبي»، وله أقسام في الجامعات.
أما القرآن، فهو كلام معجز إلى قيام الساعة، وقد تحدى الله به الثقلين «الإنس والجن»، وكان العرب أهل بلاغة وبيان، ومع هذا لم يستطيعوا معارضته، أو الإتيان بمثله، مع قوة المقتضي «العداوة والتحدي»؛ فهم أهل البلاغة والبيان، والقرآن يتحداهم في الليل والنهار، بل في الحاضر والمستقبل؛ فقال تعالى: ﴿فإن لم تفعلوا ولن تفعلوا﴾ [البقرة: 24]، فإذا كان القرآن كذلك، فلا مقارنة بينه وبين كلام البشر؛ قال تعالى: ﴿لا يأتيه الباطل من بين يديه ولا من خلفه تنزيل من حكيم حميد﴾ [فصلت: 42].
ثم إن إعجاز القرآن ليس قاصرا على بلاغته وبيانه، بل له أوجه كثيرة من الإعجاز؛ فهو معجز في لفظه ونظمه، وتراكيبه وبلاغته، معجز في معانيه، معجز في إخباره بالمغيبات، سواء فيما مضى، أو فيما يستقبل؛ فما أخبر به، فإنه يقع على وجهه دون اختلاف، معجز في تشريعه، معجز في تأثيره على النفوس، وغير ذلك الكثير من وجوه إعجازه؛ فهل في كلام البلغاء ما يجمع كل هذا؟! والجواب: أنه ليس في كلام أبلغ البلغاء، وأفصح الفصحاء: ما يساوي القرآن، أو يدانيه؛ ولهذا أقر العرب أنفسهم بأن القرآن لا يشبه كلام البشر.</t>
        </is>
      </c>
      <c r="K12" s="6" t="inlineStr">
        <is>
          <t>يبين أن القرآن تحدى العرب أن يأتوا بمثله فعجزوا مع بلاغتهم وعداوتهم، وأن إعجازه يشمل لفظه ومعانيه وأخباره وتشريعه.</t>
        </is>
      </c>
      <c r="L12" s="6" t="inlineStr">
        <is>
          <t>ما معنى أن القرآن معجز؟ | هل يستطيع أحد أن يأتي بمثل القرآن؟ | ما هو تحدي القرآن؟</t>
        </is>
      </c>
      <c r="M12" s="6" t="inlineStr">
        <is>
          <t>ب</t>
        </is>
      </c>
      <c r="N12" s="6" t="inlineStr">
        <is>
          <t>نعم</t>
        </is>
      </c>
      <c r="O12" s="6" t="inlineStr">
        <is>
          <t>البقرة 24 (جزء)؛ فصلت 42 — نُسخت من المطبوع بالرسم الإملائي، ويجب استبدالها بنص مصحف مجمع الملك فهد</t>
        </is>
      </c>
      <c r="P12" s="6" t="inlineStr">
        <is>
          <t>محمد — 2026-10-04</t>
        </is>
      </c>
      <c r="Q12" s="6" t="inlineStr">
        <is>
          <t>موافق</t>
        </is>
      </c>
      <c r="R12" s="6" t="inlineStr">
        <is>
          <t>مراجعة النقل: مطابق دون ملاحظات. مقطع حساس: وافق المختص الأعلم دون تعديل (2026-10-04). «لا يُجتزأ»: مقطع حجاجي يُعرض كاملاً حتى لا تُقتطع نتيجة دون حجتها (ملاحظة اللجنة).</t>
        </is>
      </c>
      <c r="S12" s="7">
        <f>IF(A12="","",IF(OR(M12="ج",M12="د"),"المستوى لا يُنشر",IF(IFERROR(INDEX(المصادر!$F$2:$F$30,MATCH(D12,المصادر!$A$2:$A$30,0)),"")&lt;&gt;"نعم","المصدر غير معتمد",IF(OR(B12="",E12="",J12="",K12="",P12=""),"بيانات ناقصة",IF(AND(N12="نعم",Q12&lt;&gt;"موافق"),"ينقصه رأي المختص","صالح للنشر")))))</f>
        <v/>
      </c>
      <c r="T12" t="inlineStr">
        <is>
          <t>نعم</t>
        </is>
      </c>
      <c r="U12" s="7" t="inlineStr">
        <is>
          <t>ما تعريف القرآن؟ | لماذا يعظّم المسلمون القرآن؟ | ما أمثلة الإعجاز العلمي؟</t>
        </is>
      </c>
    </row>
    <row r="13" ht="150" customHeight="1">
      <c r="A13" s="5" t="inlineStr">
        <is>
          <t>ق-24</t>
        </is>
      </c>
      <c r="B13" s="5" t="inlineStr">
        <is>
          <t>ح7</t>
        </is>
      </c>
      <c r="C13" s="6" t="inlineStr">
        <is>
          <t>أساسي</t>
        </is>
      </c>
      <c r="D13" s="6" t="inlineStr">
        <is>
          <t>م-01</t>
        </is>
      </c>
      <c r="E13" s="6" t="inlineStr">
        <is>
          <t>المسألة (27)، ص135–ص135 — مختصر الإجابة</t>
        </is>
      </c>
      <c r="F13" s="6" t="inlineStr">
        <is>
          <t>ادعاء أن القرآن مصدره البشر.</t>
        </is>
      </c>
      <c r="G13" s="6" t="inlineStr">
        <is>
          <t>لماذا لا يكون القرآن من وضع البشر، أو يكون من تأليف النبي ﷺ نفسه، وقد جاءت آية في القرآن تنص على ذلك: ﴿إنه لقول رسول كريم﴾ [الحاقة: 40]؟</t>
        </is>
      </c>
      <c r="H13" s="6" t="inlineStr">
        <is>
          <t>مصدر القرآن الكريم. | القرآن كلام الله.</t>
        </is>
      </c>
      <c r="I13" s="6" t="inlineStr">
        <is>
          <t>حول مصدر القرآن، وادعاء بعض المشككين: أنه يمكن أن يكون مصدر القرآن بشرا.</t>
        </is>
      </c>
      <c r="J13" s="6" t="inlineStr">
        <is>
          <t>1) عقلاء المشركين - من أهل الكتاب ومن غيرهم - يعلمون أن اليهود أو النصارى - وهم أهل كتاب كذلك - لا يمكن أن يكونوا مصدرا للقرآن الكريم؛ فقد كانوا أحرص الناس على معارضته.
2) وجود الإعجاز التاريخي، والتشريعي، والبلاغي والعلمي، وغير ذلك من الأمور التي لا يمكن أن يأتي بها بشر في ذلك الزمان -: ينقض هذا الادعاء.
3) ورود عتاب للنبي ﷺ في بعض الآيات -: يخالف هذه الدعوى.
4) عدم وجود أي اختلاف أو خطأ في القرآن الكريم، مع عجز العالمين عن الإتيان ولو بسورة من مثله -: يدل على أنه لا يمكن أن يأتي من عند بشر.</t>
        </is>
      </c>
      <c r="K13" s="6" t="inlineStr">
        <is>
          <t>يذكر أربعة أدلة مختصرة على أن القرآن ليس من تأليف بشر، منها ورود عتاب للنبي ﷺ في بعض الآيات.</t>
        </is>
      </c>
      <c r="L13" s="6" t="inlineStr">
        <is>
          <t>هل ألّف النبي القرآن؟ | لماذا لا يكون القرآن من كلام محمد؟ | كيف نعرف أن القرآن ليس من البشر؟</t>
        </is>
      </c>
      <c r="M13" s="6" t="inlineStr">
        <is>
          <t>ب</t>
        </is>
      </c>
      <c r="N13" s="6" t="inlineStr">
        <is>
          <t>نعم</t>
        </is>
      </c>
      <c r="O13" s="6" t="inlineStr">
        <is>
          <t>لا يوجد في المقطع (آية الحاقة 40 في نص السؤال فقط); آية في السؤال المصدري</t>
        </is>
      </c>
      <c r="P13" s="6" t="inlineStr">
        <is>
          <t>محمد — 2026-10-04</t>
        </is>
      </c>
      <c r="Q13" s="6" t="inlineStr">
        <is>
          <t>موافق</t>
        </is>
      </c>
      <c r="R13" s="6" t="inlineStr">
        <is>
          <t>مراجعة النقل: مطابق دون ملاحظات. مقطع حساس: وافق المختص الأعلم دون تعديل (2026-10-04). «لا يُجتزأ»: مقطع حجاجي يُعرض كاملاً حتى لا تُقتطع نتيجة دون حجتها (ملاحظة اللجنة).</t>
        </is>
      </c>
      <c r="S13" s="7">
        <f>IF(A13="","",IF(OR(M13="ج",M13="د"),"المستوى لا يُنشر",IF(IFERROR(INDEX(المصادر!$F$2:$F$30,MATCH(D13,المصادر!$A$2:$A$30,0)),"")&lt;&gt;"نعم","المصدر غير معتمد",IF(OR(B13="",E13="",J13="",K13="",P13=""),"بيانات ناقصة",IF(AND(N13="نعم",Q13&lt;&gt;"موافق"),"ينقصه رأي المختص","صالح للنشر")))))</f>
        <v/>
      </c>
      <c r="T13" t="inlineStr">
        <is>
          <t>نعم</t>
        </is>
      </c>
      <c r="U13" s="7" t="inlineStr">
        <is>
          <t>ما هو القرآن؟ | ما مكانة القرآن؟ | كيف كان الوحي ينزل؟</t>
        </is>
      </c>
    </row>
    <row r="14" ht="150" customHeight="1">
      <c r="A14" s="5" t="inlineStr">
        <is>
          <t>ق-25</t>
        </is>
      </c>
      <c r="B14" s="5" t="inlineStr">
        <is>
          <t>ح7</t>
        </is>
      </c>
      <c r="C14" s="6" t="inlineStr">
        <is>
          <t>إضافي</t>
        </is>
      </c>
      <c r="D14" s="6" t="inlineStr">
        <is>
          <t>م-01</t>
        </is>
      </c>
      <c r="E14" s="6" t="inlineStr">
        <is>
          <t>المسألة (25)، ص126–ص127 — مختصر الإجابة</t>
        </is>
      </c>
      <c r="F14" s="6" t="inlineStr">
        <is>
          <t>ادعاء أن القرآن مصدره الكتب السابقة.</t>
        </is>
      </c>
      <c r="G14" s="6" t="inlineStr">
        <is>
          <t>مصدر القرآن لم يكن وحيا من الله تعالى، بل هو مقتبس من الكتب السابقة.</t>
        </is>
      </c>
      <c r="H14" s="6" t="inlineStr">
        <is>
          <t>مصدر القرآن الكريم. | القرآن كلام الله. | الكتب السابقة.</t>
        </is>
      </c>
      <c r="I14" s="6" t="inlineStr">
        <is>
          <t>حول مصدر القرآن وعلاقته بالكتب السابقة؛ من حيث المضمون والأسلوب.</t>
        </is>
      </c>
      <c r="J14" s="6" t="inlineStr">
        <is>
          <t>1) الاقتباس هو: «نقل فكرة معينة، بشكل كامل أو جزئي؛ بحيث لا يزيد المقتبس شيئا»، وفي حالة إضافة المقتبس أو تعديله للأفكار التي ينقلها، أو تصحيحه لها، فإن ذلك ينفي عن فعله صفة الاقتباس؛ ومعنى الاقتباس هذا لا يمكن أن ينطبق بأي حال من الأحوال على القرآن الكريم.
2) القرآن الكريم مختلف ومتميز عن الكتب السابقة في المضمون والأسلوب؛ وهذا ينفي الدعوى الواردة في السؤال؛ فأسلوب القصص في القرآن يتميز عن غيره من كتب العهد القديم، وأي إنسان يطلع على تلك القصص يدرك بسهولة: أن هناك بونا شاسعا في القصص بين كليهما.</t>
        </is>
      </c>
      <c r="K14" s="6" t="inlineStr">
        <is>
          <t>يعرّف الاقتباس ويبين أنه لا ينطبق على القرآن، لأنه يختلف عن الكتب السابقة في مضمونه وأسلوبه.</t>
        </is>
      </c>
      <c r="L14" s="6" t="inlineStr">
        <is>
          <t>هل نقل محمد القرآن من التوراة والإنجيل؟ | لماذا تتشابه قصص القرآن مع الكتب السابقة؟ | هل القرآن مقتبس؟</t>
        </is>
      </c>
      <c r="M14" s="6" t="inlineStr">
        <is>
          <t>ب</t>
        </is>
      </c>
      <c r="N14" s="6" t="inlineStr">
        <is>
          <t>نعم</t>
        </is>
      </c>
      <c r="O14" s="6" t="inlineStr">
        <is>
          <t>—</t>
        </is>
      </c>
      <c r="P14" s="6" t="inlineStr">
        <is>
          <t>محمد — 2026-10-04</t>
        </is>
      </c>
      <c r="Q14" s="6" t="inlineStr">
        <is>
          <t>موافق</t>
        </is>
      </c>
      <c r="R14" s="6" t="inlineStr">
        <is>
          <t>مراجعة النقل: مطابق دون ملاحظات. مقطع حساس: وافق المختص الأعلم دون تعديل (2026-10-04). «لا يُجتزأ»: مقطع حجاجي يُعرض كاملاً حتى لا تُقتطع نتيجة دون حجتها (ملاحظة اللجنة).</t>
        </is>
      </c>
      <c r="S14" s="7">
        <f>IF(A14="","",IF(OR(M14="ج",M14="د"),"المستوى لا يُنشر",IF(IFERROR(INDEX(المصادر!$F$2:$F$30,MATCH(D14,المصادر!$A$2:$A$30,0)),"")&lt;&gt;"نعم","المصدر غير معتمد",IF(OR(B14="",E14="",J14="",K14="",P14=""),"بيانات ناقصة",IF(AND(N14="نعم",Q14&lt;&gt;"موافق"),"ينقصه رأي المختص","صالح للنشر")))))</f>
        <v/>
      </c>
      <c r="T14" t="inlineStr">
        <is>
          <t>نعم</t>
        </is>
      </c>
      <c r="U14" s="7" t="inlineStr">
        <is>
          <t>ما معنى أن القرآن مهيمن على الكتب السابقة؟ | ما قصص الأنبياء في القرآن؟</t>
        </is>
      </c>
    </row>
    <row r="15" ht="150" customHeight="1">
      <c r="A15" s="5" t="inlineStr">
        <is>
          <t>ق-26</t>
        </is>
      </c>
      <c r="B15" s="5" t="inlineStr">
        <is>
          <t>ح7</t>
        </is>
      </c>
      <c r="C15" s="6" t="inlineStr">
        <is>
          <t>إضافي</t>
        </is>
      </c>
      <c r="D15" s="6" t="inlineStr">
        <is>
          <t>م-01</t>
        </is>
      </c>
      <c r="E15" s="6" t="inlineStr">
        <is>
          <t>المسألة (26)، ص131–ص131 — مختصر الإجابة</t>
        </is>
      </c>
      <c r="F15" s="6" t="inlineStr">
        <is>
          <t>ادعاء أن القرآن وثيقة قديمة.</t>
        </is>
      </c>
      <c r="G15" s="6" t="inlineStr">
        <is>
          <t>يقال: إن محمدا وجد وثيقة قديمة، فقام بتعديلها، ثم سماها قرآنا.</t>
        </is>
      </c>
      <c r="H15" s="6" t="inlineStr">
        <is>
          <t>مصدر القرآن الكريم. | القرآن كلام الله. | الكتب السابقة.</t>
        </is>
      </c>
      <c r="I15" s="6" t="inlineStr">
        <is>
          <t>يدور السؤال حول مصدر القرآن، وادعاء كون أصله وثيقة سابقة وجدها النبي ﷺ، فقام بتعديلها، وسماها قرآنا.</t>
        </is>
      </c>
      <c r="J15" s="6" t="inlineStr">
        <is>
          <t>القول بأن القرآن وثيقة قديمة، ولم يجدها سوى النبي الأمي محمد ﷺ، دون سائر البشر، هو: مجرد افتراء، تنقضه الشواهد الكثيرة؛ بتوافق القرآن مع أسباب النزول، وكذلك: انتظار النبي ﷺ للوحي في بعض الأحيان كي يأتيه بجواب؛ مثل انتظاره للوحي في حادثة الإفك، وكذلك: كيف يتأتى لإنسان يحمل وثيقة قديمة أن ينكشف له غيب المستقبل؛ فيخبر بأمور غيبية، وهو واثق كل الثقة في حدوثها، وقد تحقق فعلا ما تنبأ به؛ كبعض الحقائق العلمية، وغيرها، وكذلك: فالحجة قائمة بالبينات التي في القرآن الكريم؛ وكل هذا يدل على أن مصدر هذا القرآن ليس بشريا على الإطلاق.</t>
        </is>
      </c>
      <c r="K15" s="6" t="inlineStr">
        <is>
          <t>يرد على القول بأن القرآن وثيقة قديمة، بتوافقه مع أسباب النزول، وانتظار النبي ﷺ الوحي أحيانا، وإخباره بأمور مستقبلية تحققت.</t>
        </is>
      </c>
      <c r="L15" s="6" t="inlineStr">
        <is>
          <t>هل وجد النبي القرآن مكتوبا؟ | هل كان النبي ينتظر الوحي؟</t>
        </is>
      </c>
      <c r="M15" s="6" t="inlineStr">
        <is>
          <t>ب</t>
        </is>
      </c>
      <c r="N15" s="6" t="inlineStr">
        <is>
          <t>نعم</t>
        </is>
      </c>
      <c r="O15" s="6" t="inlineStr">
        <is>
          <t>يشير إلى حادثة الإفك دون نص</t>
        </is>
      </c>
      <c r="P15" s="6" t="inlineStr">
        <is>
          <t>محمد — 2026-10-04</t>
        </is>
      </c>
      <c r="Q15" s="6" t="inlineStr">
        <is>
          <t>موافق</t>
        </is>
      </c>
      <c r="R15" s="6" t="inlineStr">
        <is>
          <t>مراجعة النقل: مطابق دون ملاحظات. مقطع حساس: وافق المختص الأعلم دون تعديل (2026-10-04). «لا يُجتزأ»: مقطع حجاجي يُعرض كاملاً حتى لا تُقتطع نتيجة دون حجتها (ملاحظة اللجنة).</t>
        </is>
      </c>
      <c r="S15" s="7">
        <f>IF(A15="","",IF(OR(M15="ج",M15="د"),"المستوى لا يُنشر",IF(IFERROR(INDEX(المصادر!$F$2:$F$30,MATCH(D15,المصادر!$A$2:$A$30,0)),"")&lt;&gt;"نعم","المصدر غير معتمد",IF(OR(B15="",E15="",J15="",K15="",P15=""),"بيانات ناقصة",IF(AND(N15="نعم",Q15&lt;&gt;"موافق"),"ينقصه رأي المختص","صالح للنشر")))))</f>
        <v/>
      </c>
      <c r="T15" t="inlineStr">
        <is>
          <t>نعم</t>
        </is>
      </c>
      <c r="U15" s="7" t="inlineStr">
        <is>
          <t>كيف جُمع القرآن؟ | ما أسباب نزول آية بعينها؟</t>
        </is>
      </c>
    </row>
    <row r="16" ht="150" customHeight="1">
      <c r="A16" s="5" t="inlineStr">
        <is>
          <t>ق-27</t>
        </is>
      </c>
      <c r="B16" s="5" t="inlineStr">
        <is>
          <t>ح7</t>
        </is>
      </c>
      <c r="C16" s="6" t="inlineStr">
        <is>
          <t>إضافي</t>
        </is>
      </c>
      <c r="D16" s="6" t="inlineStr">
        <is>
          <t>م-01</t>
        </is>
      </c>
      <c r="E16" s="6" t="inlineStr">
        <is>
          <t>المسألة (29)، ص143–ص143 — مختصر الإجابة</t>
        </is>
      </c>
      <c r="F16" s="6" t="inlineStr">
        <is>
          <t>ادعاء الاستطاعة بإيجاد مثل علوم القرآن ومعارفه لبعض النابغين ذوي المواهب من الناس.</t>
        </is>
      </c>
      <c r="G16" s="6" t="inlineStr">
        <is>
          <t>هل يصح القول بأن ما في القرآن من علوم ومعارف ما هي إلا آثار لمواهب بعض النابغين من الناس، وهذه المواهب وآثارها وجدت، ويمكن أن توجد في كل أمة؟</t>
        </is>
      </c>
      <c r="H16" s="6" t="inlineStr">
        <is>
          <t>هل يمكن للنابغين والموهوبين الإتيان بمثل ما في القرآن من علوم ومعارف؟</t>
        </is>
      </c>
      <c r="I16" s="6" t="inlineStr">
        <is>
          <t>—</t>
        </is>
      </c>
      <c r="J16" s="6" t="inlineStr">
        <is>
          <t>ينقض هذا الادعاء: وجود الإعجاز التاريخي، والتشريعي، والبلاغي، والعلمي، وغير ذلك من الأمور التي لا يمكن أن يأتي بها بشر في ذلك الزمان، وفي الأزمنة بعده.
وإن ذكاء البشر مهما وصل، ومواهب النابغين مهما بلغت، تختلف تمام الاختلاف عن المعجزات، التي هي من خصائص الربوبية، وليست في قدرة أحد من البشر أو الخلق.
كما اشتمل القرآن على علوم ومعارف تهدي البشر إلى طريق الحق والصواب، والسعادة في جميع شؤونهم في حياتهم الدنيا والآخرة، وتجنبهم الشر بحذافيره، في كل زمان ومكان؛ وهذه العلوم والمعارف ليست في مقدور الخلق.</t>
        </is>
      </c>
      <c r="K16" s="6" t="inlineStr">
        <is>
          <t>يبين أن ذكاء البشر ومواهبهم مهما بلغت لا تصل إلى ما في القرآن من إعجاز وعلوم تهدي إلى الحق.</t>
        </is>
      </c>
      <c r="L16" s="6" t="inlineStr">
        <is>
          <t>ألا يمكن أن يكون القرآن من عبقري؟ | هل يستطيع شخص ذكي أن يكتب مثل القرآن؟</t>
        </is>
      </c>
      <c r="M16" s="6" t="inlineStr">
        <is>
          <t>ب</t>
        </is>
      </c>
      <c r="N16" s="6" t="inlineStr">
        <is>
          <t>نعم</t>
        </is>
      </c>
      <c r="O16" s="6" t="inlineStr">
        <is>
          <t>لا يوجد في الفقرات المختارة</t>
        </is>
      </c>
      <c r="P16" s="6" t="inlineStr">
        <is>
          <t>محمد — 2026-10-04</t>
        </is>
      </c>
      <c r="Q16" s="6" t="inlineStr">
        <is>
          <t>موافق</t>
        </is>
      </c>
      <c r="R16" s="6" t="inlineStr">
        <is>
          <t>مراجعة النقل: مطابق دون ملاحظات. مقطع حساس: وافق المختص الأعلم دون تعديل (2026-10-04). «لا يُجتزأ»: مقطع حجاجي يُعرض كاملاً حتى لا تُقتطع نتيجة دون حجتها (ملاحظة اللجنة).</t>
        </is>
      </c>
      <c r="S16" s="7">
        <f>IF(A16="","",IF(OR(M16="ج",M16="د"),"المستوى لا يُنشر",IF(IFERROR(INDEX(المصادر!$F$2:$F$30,MATCH(D16,المصادر!$A$2:$A$30,0)),"")&lt;&gt;"نعم","المصدر غير معتمد",IF(OR(B16="",E16="",J16="",K16="",P16=""),"بيانات ناقصة",IF(AND(N16="نعم",Q16&lt;&gt;"موافق"),"ينقصه رأي المختص","صالح للنشر")))))</f>
        <v/>
      </c>
      <c r="T16" t="inlineStr">
        <is>
          <t>نعم</t>
        </is>
      </c>
      <c r="U16" s="7" t="inlineStr">
        <is>
          <t>ما أمثلة الإعجاز العلمي؟ | ما مكانة القرآن؟</t>
        </is>
      </c>
    </row>
    <row r="17" ht="150" customHeight="1">
      <c r="A17" s="10" t="inlineStr">
        <is>
          <t>ق-01</t>
        </is>
      </c>
      <c r="B17" s="10" t="inlineStr">
        <is>
          <t>ح1</t>
        </is>
      </c>
      <c r="C17" s="11" t="inlineStr">
        <is>
          <t>أساسي</t>
        </is>
      </c>
      <c r="D17" s="11" t="inlineStr">
        <is>
          <t>م-02</t>
        </is>
      </c>
      <c r="E17" s="11" t="inlineStr">
        <is>
          <t>المبحث الثاني: تعريف القرآن اصطلاحاً، الفقرة الأولى — https://dorar.net/aqeeda/1365</t>
        </is>
      </c>
      <c r="F17" s="11" t="n"/>
      <c r="G17" s="11" t="n"/>
      <c r="H17" s="11" t="n"/>
      <c r="I17" s="11" t="inlineStr">
        <is>
          <t>—</t>
        </is>
      </c>
      <c r="J17" s="11" t="inlineStr">
        <is>
          <t>القُرْآنُ الكريمُ هو اسمٌ لكلامِ اللهِ تعالى وكِتابِه، المنَزَّلُ على عَبدِه ورَسولِه مُحَمَّدٍ صلَّى اللهُ عليه وسلَّم بواسِطةِ جِبريلَ عليه السَّلامُ بلِسانٍ عَربيٍّ مُبِينٍ، المنقولُ إلينا بالتواتُرِ، المكتوبُ في المُصحَفِ، المتعَبَّدُ بتلاوتِه، المبدوءُ بسُورةِ الفاتحةِ، والمختومُ بسُورةِ النَّاسِ، والمُعجِزُ بأقصَرِ سُوَرِه .</t>
        </is>
      </c>
      <c r="K17" s="11" t="inlineStr">
        <is>
          <t>ما القرآن؟ تعريفه: كلام الله المنزل على محمد ﷺ بواسطة جبريل، بلسان عربي، المنقول بالتواتر، المكتوب في المصحف، المتعبد بتلاوته.</t>
        </is>
      </c>
      <c r="L17" s="11" t="inlineStr">
        <is>
          <t>ما هو القرآن؟ | ما تعريف القرآن؟ | إيش يعني القرآن؟ | من أين جاء القرآن؟</t>
        </is>
      </c>
      <c r="M17" s="11" t="inlineStr">
        <is>
          <t>أ</t>
        </is>
      </c>
      <c r="N17" s="11" t="inlineStr">
        <is>
          <t>لا</t>
        </is>
      </c>
      <c r="O17" s="11" t="inlineStr">
        <is>
          <t>—</t>
        </is>
      </c>
      <c r="P17" s="11" t="inlineStr">
        <is>
          <t>محمد — 5 أكتوبر 2026</t>
        </is>
      </c>
      <c r="Q17" s="11" t="n"/>
      <c r="R17" s="11" t="inlineStr">
        <is>
          <t>اعتُمد دون ملاحظات.</t>
        </is>
      </c>
      <c r="S17" s="12">
        <f>IF(A17="","",IF(OR(M17="ج",M17="د"),"المستوى لا يُنشر",IF(IFERROR(INDEX(المصادر!$F$2:$F$30,MATCH(D17,المصادر!$A$2:$A$30,0)),"")&lt;&gt;"نعم","المصدر غير معتمد",IF(OR(B17="",E17="",J17="",K17="",P17=""),"بيانات ناقصة",IF(AND(N17="نعم",Q17&lt;&gt;"موافق"),"ينقصه رأي المختص","صالح للنشر")))))</f>
        <v/>
      </c>
      <c r="T17" s="11" t="n"/>
      <c r="U17" s="11" t="inlineStr">
        <is>
          <t>لماذا يعظّم المسلمون القرآن؟ | هل القرآن من تأليف محمد؟ | ما معنى كلمة قرآن في اللغة؟</t>
        </is>
      </c>
      <c r="V17" s="11" t="n"/>
      <c r="W17" s="11" t="n"/>
    </row>
    <row r="18" ht="150" customHeight="1">
      <c r="A18" s="10" t="inlineStr">
        <is>
          <t>ق-02</t>
        </is>
      </c>
      <c r="B18" s="10" t="inlineStr">
        <is>
          <t>ح1</t>
        </is>
      </c>
      <c r="C18" s="11" t="inlineStr">
        <is>
          <t>أساسي</t>
        </is>
      </c>
      <c r="D18" s="11" t="inlineStr">
        <is>
          <t>م-02</t>
        </is>
      </c>
      <c r="E18" s="11" t="inlineStr">
        <is>
          <t>فضائل القرآن — المبحث الأول: من فضائل القرآن أنه هدى للمتقين — https://dorar.net/aqeeda/1376</t>
        </is>
      </c>
      <c r="F18" s="11" t="n"/>
      <c r="G18" s="11" t="n"/>
      <c r="H18" s="11" t="n"/>
      <c r="I18" s="11" t="inlineStr">
        <is>
          <t>—</t>
        </is>
      </c>
      <c r="J18" s="11" t="inlineStr">
        <is>
          <t>قال اللهُ تعالى: ﴿ذَلِكَ الكِتَابُ لَا رَيْبَ فِيهِ هُدًى لِلْمُتَّقِينَ﴾ [البقرة: 2] .
[…]
وقال اللهُ عَزَّ وجَلَّ: ﴿إِنَّ هَذَا القُرْآنَ يَهْدِي لِلَّتِي هِيَ أَقْوَمُ﴾ [الإسراء: 9] .
قال السَّعديُّ: (يخبرُ تعالى عن شَرَفِ القُرْآنِ وجَلالتِه وأنَّه يَهْدِي لِلَّتِي هِيَ أَقْوَمُ أي: أعدَلُ وأعلى من العقائدِ والأعمالِ والأخلاقِ، فمن اهتدى بما يدعو إليه القُرْآنُ كان أكمَلَ النَّاسِ وأقوَمَهم وأهداهم في جميعِ أُمورِه)</t>
        </is>
      </c>
      <c r="K18" s="11" t="inlineStr">
        <is>
          <t>مكانة القرآن: أنه هدى للمتقين، ويهدي للتي هي أقوم في العقائد والأعمال والأخلاق.</t>
        </is>
      </c>
      <c r="L18" s="11" t="inlineStr">
        <is>
          <t>ما مكانة القرآن عند المسلمين؟ | لماذا يعظّم المسلمون القرآن؟ | ما فائدة القرآن للإنسان؟ | لماذا يقرأ المسلمون القرآن كثيراً؟</t>
        </is>
      </c>
      <c r="M18" s="11" t="inlineStr">
        <is>
          <t>أ</t>
        </is>
      </c>
      <c r="N18" s="11" t="inlineStr">
        <is>
          <t>لا</t>
        </is>
      </c>
      <c r="O18" s="11" t="inlineStr">
        <is>
          <t>البقرة 2؛ الإسراء 9 (تُعرض من المصحف). في كلام السعدي جزء آية دون علامة.</t>
        </is>
      </c>
      <c r="P18" s="11" t="inlineStr">
        <is>
          <t>محمد — 5 أكتوبر 2026</t>
        </is>
      </c>
      <c r="Q18" s="11" t="n"/>
      <c r="R18" s="11" t="inlineStr">
        <is>
          <t>اعتُمد دون ملاحظات.</t>
        </is>
      </c>
      <c r="S18" s="12">
        <f>IF(A18="","",IF(OR(M18="ج",M18="د"),"المستوى لا يُنشر",IF(IFERROR(INDEX(المصادر!$F$2:$F$30,MATCH(D18,المصادر!$A$2:$A$30,0)),"")&lt;&gt;"نعم","المصدر غير معتمد",IF(OR(B18="",E18="",J18="",K18="",P18=""),"بيانات ناقصة",IF(AND(N18="نعم",Q18&lt;&gt;"موافق"),"ينقصه رأي المختص","صالح للنشر")))))</f>
        <v/>
      </c>
      <c r="T18" s="11" t="n"/>
      <c r="U18" s="11" t="inlineStr">
        <is>
          <t>ما تعريف القرآن؟ | ما فضل قراءة القرآن؟</t>
        </is>
      </c>
      <c r="V18" s="11" t="n"/>
      <c r="W18" s="11" t="n"/>
    </row>
    <row r="19" ht="150" customHeight="1">
      <c r="A19" s="10" t="inlineStr">
        <is>
          <t>ق-03</t>
        </is>
      </c>
      <c r="B19" s="10" t="inlineStr">
        <is>
          <t>ح1</t>
        </is>
      </c>
      <c r="C19" s="11" t="inlineStr">
        <is>
          <t>أساسي</t>
        </is>
      </c>
      <c r="D19" s="11" t="inlineStr">
        <is>
          <t>م-02</t>
        </is>
      </c>
      <c r="E19" s="11" t="inlineStr">
        <is>
          <t>خصائص القرآن — المبحث الثامن: هيمنته على الكتب السابقة — https://dorar.net/aqeeda/1417</t>
        </is>
      </c>
      <c r="F19" s="11" t="n"/>
      <c r="G19" s="11" t="n"/>
      <c r="H19" s="11" t="n"/>
      <c r="I19" s="11" t="inlineStr">
        <is>
          <t>—</t>
        </is>
      </c>
      <c r="J19" s="11" t="inlineStr">
        <is>
          <t>قال اللهُ تعالى: ﴿وَأَنْزَلْنَا إِلَيْكَ الْكِتَابَ بِالْحَقِّ مُصَدِّقًا لِمَا بَيْنَ يَدَيْهِ مِنَ الْكِتَابِ وَمُهَيْمِنًا عَلَيْهِ فَاحْكُمْ بَيْنَهم بِمَا أَنْزَلَ اللَّهُ﴾ [المائدة: 48] .
أي: وأنزلْناه شاهدًا للكتُبِ الإلهيَّةِ السَّابقةِ بصِدقها، وموافقًا لها، ومطابِقًا لأخبارِها وأصولِ شرائِعِها، وفي وجودِه أيضًا دَلالةٌ على صِدقِها؛ لأنَّها أَخبرتْ بنُزولِ القُرآنِ. وأنزلْناه أمينًا على الكتُبِ الإلهيَّةِ السَّابقةِ، حافظًا لها، مُشتَمِلًا على ما اشتملَتْ عليه الكتُبُ السَّابقَةُ وزيادةٍ، وناسِخًا لها، وحاكمًا عليها كلِّها، فما شهِد له القُرْآنُ منها بالصِّدقِ فهو مقبولٌ، وما شهِد له بالردِّ فهو مردودٌ، قد دخلَه التحريفُ والتبديلُ، وإلَّا فلو كان مِن عِندِ اللهِ تعالى لم يُخالِفْه. وما دام أنَّ هذه هي حالُ القُرْآنِ؛ فاحكُمْ إذنْ -يا محمَّدُ- بينَ أهلِ الكِتاب وغيرِهم بهذا القُرْآنِ العظيمِ في كلِّ ما احتَكموا فيه إليك .
[…]
وقال ابنُ كثيرٍ: (جعل اللهُ هذا الكِتابَ العظيمَ الذي أنزله آخِرَ الكُتُبِ وخاتِمَها وأشمَلَها وأعظَمَها وأكمَلَها؛ حيث جمع فيه محاسِنَ ما قَبْلَه وزاده من الكمالاتِ ما ليس في غيرِه؛ فلهذا جعله شاهدًا وأمينًا، وحاكمًا عليها كُلِّها) .</t>
        </is>
      </c>
      <c r="K19" s="11" t="inlineStr">
        <is>
          <t>صلة القرآن بالكتب السابقة: مصدّق لها ومهيمن عليها، أمين وشاهد وحاكم عليها، وهو آخر الكتب وخاتمها.</t>
        </is>
      </c>
      <c r="L19" s="11" t="inlineStr">
        <is>
          <t>هل القرآن مثل الإنجيل عند المسيحيين؟ | ما علاقة القرآن بالتوراة والإنجيل؟ | ما معنى أن القرآن مهيمن؟</t>
        </is>
      </c>
      <c r="M19" s="11" t="inlineStr">
        <is>
          <t>ب</t>
        </is>
      </c>
      <c r="N19" s="11" t="inlineStr">
        <is>
          <t>نعم</t>
        </is>
      </c>
      <c r="O19" s="11" t="inlineStr">
        <is>
          <t>المائدة 48 (تُعرض من المصحف)</t>
        </is>
      </c>
      <c r="P19" s="11" t="inlineStr">
        <is>
          <t>محمد — 5 أكتوبر 2026</t>
        </is>
      </c>
      <c r="Q19" s="11" t="inlineStr">
        <is>
          <t>موافق</t>
        </is>
      </c>
      <c r="R19" s="11" t="inlineStr">
        <is>
          <t>نُفّذ: تُعرض الآية وشرحها كاملين، وقول ابن كثير عند «أريد التفصيل» فقط. مقطع حساس: وافق المختص الأعلم.</t>
        </is>
      </c>
      <c r="S19" s="12">
        <f>IF(A19="","",IF(OR(M19="ج",M19="د"),"المستوى لا يُنشر",IF(IFERROR(INDEX(المصادر!$F$2:$F$30,MATCH(D19,المصادر!$A$2:$A$30,0)),"")&lt;&gt;"نعم","المصدر غير معتمد",IF(OR(B19="",E19="",J19="",K19="",P19=""),"بيانات ناقصة",IF(AND(N19="نعم",Q19&lt;&gt;"موافق"),"ينقصه رأي المختص","صالح للنشر")))))</f>
        <v/>
      </c>
      <c r="T19" s="11" t="inlineStr">
        <is>
          <t>نعم</t>
        </is>
      </c>
      <c r="U19" s="11" t="inlineStr">
        <is>
          <t>هل نقل محمد القرآن من التوراة؟ | ما الفرق بين القرآن والحديث؟</t>
        </is>
      </c>
      <c r="V19" s="11" t="inlineStr">
        <is>
          <t>وقال ابنُ كثيرٍ: (جعل اللهُ هذا الكِتابَ العظيمَ الذي أنزله آخِرَ الكُتُبِ وخاتِمَها وأشمَلَها وأعظَمَها وأكمَلَها؛ حيث جمع فيه محاسِنَ ما قَبْلَه وزاده من الكمالاتِ ما ليس في غيرِه؛ فلهذا جعله شاهدًا وأمينًا، وحاكمًا عليها كُلِّها) .</t>
        </is>
      </c>
      <c r="W19" s="11" t="n"/>
    </row>
    <row r="20" ht="150" customHeight="1">
      <c r="A20" s="10" t="inlineStr">
        <is>
          <t>ق-34</t>
        </is>
      </c>
      <c r="B20" s="10" t="inlineStr">
        <is>
          <t>ح1</t>
        </is>
      </c>
      <c r="C20" s="11" t="inlineStr">
        <is>
          <t>إضافي</t>
        </is>
      </c>
      <c r="D20" s="11" t="inlineStr">
        <is>
          <t>م-02</t>
        </is>
      </c>
      <c r="E20" s="11" t="inlineStr">
        <is>
          <t>المبحث الأول: تعريف القرآن لغةً — https://dorar.net/aqeeda/1363</t>
        </is>
      </c>
      <c r="F20" s="11" t="n"/>
      <c r="G20" s="11" t="n"/>
      <c r="H20" s="11" t="n"/>
      <c r="I20" s="11" t="inlineStr">
        <is>
          <t>—</t>
        </is>
      </c>
      <c r="J20" s="11" t="inlineStr">
        <is>
          <t>القُرآنُ في الأصلِ مَصدَرٌ، يقالُ: قَرَأَ يَقْرَأُ قِراءةً وقُرْآنًا، ثمَّ أُطلِقَ على المقروءِ، وسُمِّي القُرآنُ قُرآنًا؛ لأنَّه يجمَعُ السُّوَرَ فيَضُمُّها، وكُلُّ شَيءٍ جَمَعْتَه فقد قرَأْتَه، وأصلُ (قرأ): يَدُلُّ على جَمعٍ واجْتِماعٍ</t>
        </is>
      </c>
      <c r="K20" s="11" t="inlineStr">
        <is>
          <t>معنى كلمة «قرآن» في اللغة، ولماذا سُمّي القرآن بهذا الاسم.</t>
        </is>
      </c>
      <c r="L20" s="11" t="inlineStr">
        <is>
          <t>ما معنى كلمة قرآن؟ | لماذا سمي القرآن قرآناً؟</t>
        </is>
      </c>
      <c r="M20" s="11" t="inlineStr">
        <is>
          <t>أ</t>
        </is>
      </c>
      <c r="N20" s="11" t="inlineStr">
        <is>
          <t>لا</t>
        </is>
      </c>
      <c r="O20" s="11" t="inlineStr">
        <is>
          <t>—</t>
        </is>
      </c>
      <c r="P20" s="11" t="inlineStr">
        <is>
          <t>محمد — 5 أكتوبر 2026</t>
        </is>
      </c>
      <c r="Q20" s="11" t="n"/>
      <c r="R20" s="11" t="inlineStr">
        <is>
          <t>اعتُمد دون ملاحظات.</t>
        </is>
      </c>
      <c r="S20" s="12">
        <f>IF(A20="","",IF(OR(M20="ج",M20="د"),"المستوى لا يُنشر",IF(IFERROR(INDEX(المصادر!$F$2:$F$30,MATCH(D20,المصادر!$A$2:$A$30,0)),"")&lt;&gt;"نعم","المصدر غير معتمد",IF(OR(B20="",E20="",J20="",K20="",P20=""),"بيانات ناقصة",IF(AND(N20="نعم",Q20&lt;&gt;"موافق"),"ينقصه رأي المختص","صالح للنشر")))))</f>
        <v/>
      </c>
      <c r="T20" s="11" t="n"/>
      <c r="U20" s="11" t="inlineStr">
        <is>
          <t>ما تعريف القرآن اصطلاحاً؟ | ما أسماء القرآن الأخرى؟</t>
        </is>
      </c>
      <c r="V20" s="11" t="n"/>
      <c r="W20" s="11" t="n"/>
    </row>
    <row r="21" ht="150" customHeight="1">
      <c r="A21" s="10" t="inlineStr">
        <is>
          <t>ق-35</t>
        </is>
      </c>
      <c r="B21" s="10" t="inlineStr">
        <is>
          <t>ح1</t>
        </is>
      </c>
      <c r="C21" s="11" t="inlineStr">
        <is>
          <t>إضافي</t>
        </is>
      </c>
      <c r="D21" s="11" t="inlineStr">
        <is>
          <t>م-02</t>
        </is>
      </c>
      <c r="E21" s="11" t="inlineStr">
        <is>
          <t>المبحث الثاني: الفرق بين القرآن الكريم والحديث القدسي، الفروق 1–4 من 13 — https://dorar.net/aqeeda/1365</t>
        </is>
      </c>
      <c r="F21" s="11" t="n"/>
      <c r="G21" s="11" t="n"/>
      <c r="H21" s="11" t="n"/>
      <c r="I21" s="11" t="inlineStr">
        <is>
          <t>—</t>
        </is>
      </c>
      <c r="J21" s="11" t="inlineStr">
        <is>
          <t>1- أنَّ القُرْآنَ الكريمَ تحدَّى اللهُ النَّاسَ أن يأتُوا بمِثْلِه، أو بعَشْرِ سُوَرٍ مِثْلِه، أو بسُورةٍ مِن مِثْلِه، أو بحديثٍ مِثْلِه؛ فعَجَزوا. أمَّا الحديثُ القُدُسيُّ فلم يقَعْ به التحَدِّي والإعجازُ.
2- أنَّ القُرْآنَ الكريمَ منقولٌ بطريقِ التواتُرِ، فهو قَطعيُّ الثُّبوتِ كُلُّه؛ سُوَرُه وآياتُه، وجُمَلُه ومُفرداتُه، وحُروفُه وحَرَكاتُه وسَكَناتُه، أمَّا الحديثُ القُدُسيُّ فأغلَبُه أحاديثُ آحادٍ ظَنِّيُّ الثُّبوتِ.
3- أنَّ القُرْآنَ الكريمَ مِن عِندِ اللهِ لفظًا ومعنًى، أمَّا الحديثُ القُدُسيُّ فمعناه من اللهِ باتِّفاقِ العُلَماءِ، أمَّا لَفظُه فاختُلِف فيه.
4- أنَّ القُرْآنَ الكريمَ لا يُنسَبُ إلَّا إلى اللهِ تعالى، أمَّا الحديثُ القُدُسيُّ فيُنسَبُ إلى اللهِ تعالى نسبةَ إنشاءٍ، فيُقالُ: قال اللهُ تعالى، ويُروى مضافًا إلى الرَّسولِ الله صلَّى اللهُ عليه وسلَّم نِسبةَ إخبارٍ، فيُقالُ: قال رَسولُ اللهِ صلَّى اللهُ عليه وسلَّم فيما يرويه عن رَبِّه.</t>
        </is>
      </c>
      <c r="K21" s="11" t="inlineStr">
        <is>
          <t>الفرق بين القرآن الكريم والحديث القدسي: التحدي بالقرآن، وتواتره، وأنه من الله لفظاً ومعنى، ونسبته إلى الله.</t>
        </is>
      </c>
      <c r="L21" s="11" t="inlineStr">
        <is>
          <t>ما الفرق بين القرآن والحديث القدسي؟ | هل الحديث القدسي من القرآن؟ | هل الحديث القدسي كلام الله مثل القرآن؟</t>
        </is>
      </c>
      <c r="M21" s="11" t="inlineStr">
        <is>
          <t>ب</t>
        </is>
      </c>
      <c r="N21" s="11" t="inlineStr">
        <is>
          <t>لا</t>
        </is>
      </c>
      <c r="O21" s="11" t="inlineStr">
        <is>
          <t>—</t>
        </is>
      </c>
      <c r="P21" s="11" t="inlineStr">
        <is>
          <t>محمد — 5 أكتوبر 2026</t>
        </is>
      </c>
      <c r="Q21" s="11" t="n"/>
      <c r="R21" s="11" t="inlineStr">
        <is>
          <t>نُفّذ: البند الثاني لا يظهر إلا عند «أريد التفصيل».</t>
        </is>
      </c>
      <c r="S21" s="12">
        <f>IF(A21="","",IF(OR(M21="ج",M21="د"),"المستوى لا يُنشر",IF(IFERROR(INDEX(المصادر!$F$2:$F$30,MATCH(D21,المصادر!$A$2:$A$30,0)),"")&lt;&gt;"نعم","المصدر غير معتمد",IF(OR(B21="",E21="",J21="",K21="",P21=""),"بيانات ناقصة",IF(AND(N21="نعم",Q21&lt;&gt;"موافق"),"ينقصه رأي المختص","صالح للنشر")))))</f>
        <v/>
      </c>
      <c r="T21" s="11" t="n"/>
      <c r="U21" s="11" t="inlineStr">
        <is>
          <t>هل السنة حجة؟ | ما تعريف القرآن؟ | ما الفرق بين القرآن والحديث النبوي؟</t>
        </is>
      </c>
      <c r="V21" s="11" t="inlineStr">
        <is>
          <t>2- أنَّ القُرْآنَ الكريمَ منقولٌ بطريقِ التواتُرِ، فهو قَطعيُّ الثُّبوتِ كُلُّه؛ سُوَرُه وآياتُه، وجُمَلُه ومُفرداتُه، وحُروفُه وحَرَكاتُه وسَكَناتُه، أمَّا الحديثُ القُدُسيُّ فأغلَبُه أحاديثُ آحادٍ ظَنِّيُّ الثُّبوتِ.</t>
        </is>
      </c>
      <c r="W21" s="11" t="n"/>
    </row>
    <row r="22" ht="150" customHeight="1">
      <c r="A22" s="10" t="inlineStr">
        <is>
          <t>ق-08</t>
        </is>
      </c>
      <c r="B22" s="10" t="inlineStr">
        <is>
          <t>ح2</t>
        </is>
      </c>
      <c r="C22" s="11" t="inlineStr">
        <is>
          <t>أساسي</t>
        </is>
      </c>
      <c r="D22" s="11" t="inlineStr">
        <is>
          <t>م-03</t>
        </is>
      </c>
      <c r="E22" s="11" t="inlineStr">
        <is>
          <t>الفصل 2: الوحي — كيفية وحي الملك إلى الرسول (ص 33–35) — https://www.islamweb.net/ar/library/content/246/10/</t>
        </is>
      </c>
      <c r="F22" s="11" t="inlineStr">
        <is>
          <t>كيفية وحي الملك إلى الرسول</t>
        </is>
      </c>
      <c r="G22" s="11" t="n"/>
      <c r="H22" s="11" t="n"/>
      <c r="I22" s="11" t="inlineStr">
        <is>
          <t>—</t>
        </is>
      </c>
      <c r="J22" s="11" t="inlineStr">
        <is>
          <t>وحي الله إلى أنبيائه إما أن يكون بغير واسطة […] وكان منه الرؤيا الصالحة في المنام، والكلام الإلهي من وراء حجاب يقظة، وإما أن يكون بواسطة ملك الوحي وهو الذي يعنينا في هذا الموضوع لأن القرآن الكريم نزل به.
ولا تخلو كيفية وحي الملك إلى الرسول من إحدى حالتين:
الحالة الأولى: وهي أشد على الرسول، أن يأتيه مثل صلصلة الجرس، والصوت القوي يثير عوامل الانتباه فتهيأ النفس بكل قواها لقبول أثره، فإذا نزل الوحي بهذه الصورة على الرسول -صلى الله عليه وسلم- نزل عليه وهو مستجمع القوى الإدراكية لتلقيه وحفظه وفهمه، وقد يكون هذا الصوت حفيف أجنحة الملائكة وقد يكون صوت الملك نفسه في أول سماع الرسول له.
والحالة الثانية: أن يتمثل له الملك رجلا ويأتيه في صورة بشر، وهذه الحالة أخف من سابقتها، حيث يكون التناسب بين المتكلم والسامع، ويأنس رسول النبوة عند سماعه من رسول الوحي، ويطمئن إليه اطمئنان الإنسان لأخيه الإنسان.
[…]
وكلتا الحالتين مذكور فيما روي عن عائشة أم المؤمنين -رضي الله عنها- أن الحارث بن هشام رضي الله عنه سأل رسول الله -صلى الله عليه وسلم- فقال: "يا رسول الله.. كيف يأتيك الوحي؟ فقال رسول الله صلى الله عليه وسلم: أحيانا يأتيني مثل صلصلة الجرس، وهو أشد علي، فيفصم عني وقد وعيت عنه ما قال، وأحيانا يتمثل لي الملك رجلا فيكلمني فأعي ما يقول".
وروت عائشة رضي الله عنها ما كان يصيب رسول الله -صلى الله عليه وسلم- من شدة فقالت: "ولقد رأيته ينزل عليه الوحي في اليوم الشديد البرد فيفصم عنه وإن جبينه ليتفصد عرقا".
[…]</t>
        </is>
      </c>
      <c r="K22" s="11" t="inlineStr">
        <is>
          <t>كيف كان الوحي يأتي النبي ﷺ: وحي الله إلى أنبيائه يكون بالرؤيا الصالحة أو بالكلام من وراء حجاب أو بواسطة الملك، والقرآن نزل بواسطة الملك، إما مثل صلصلة الجرس وهو أشدّ، وإما أن يتمثّل له الملك رجلاً.</t>
        </is>
      </c>
      <c r="L22" s="11" t="inlineStr">
        <is>
          <t>كيف كان الوحي يأتي النبي؟ | ما هو الوحي؟ | كيف وصل القرآن لمحمد؟ | كيف كان جبريل ينزل بالقرآن؟ | ما طرق نزول الوحي على النبي؟ | هل كان جبريل يأتي النبي في صورة رجل؟ | ما معنى أن الوحي كان مثل صلصلة الجرس؟ | هل كان نزول الوحي شديداً على النبي؟ | هل نزل القرآن على النبي في المنام؟</t>
        </is>
      </c>
      <c r="M22" s="11" t="inlineStr">
        <is>
          <t>أ</t>
        </is>
      </c>
      <c r="N22" s="11" t="inlineStr">
        <is>
          <t>لا</t>
        </is>
      </c>
      <c r="O22" s="11" t="inlineStr">
        <is>
          <t>حديث عائشة في سؤال الحارث بن هشام، وقولها «ولقد رأيته ينزل عليه الوحي في اليوم الشديد البرد…»: صحيح البخاري (2)، وصحيح مسلم (2333).</t>
        </is>
      </c>
      <c r="P22" s="11" t="inlineStr">
        <is>
          <t>محمد — 5 أكتوبر 2026</t>
        </is>
      </c>
      <c r="Q22" s="11" t="n"/>
      <c r="R22" s="11" t="inlineStr">
        <is>
          <t>نُفّذ: كل طرق الوحي من القطان، والأحاديث عند «أريد التفصيل»، وصياغات لكل طريقة.</t>
        </is>
      </c>
      <c r="S22" s="12">
        <f>IF(A22="","",IF(OR(M22="ج",M22="د"),"المستوى لا يُنشر",IF(IFERROR(INDEX(المصادر!$F$2:$F$30,MATCH(D22,المصادر!$A$2:$A$30,0)),"")&lt;&gt;"نعم","المصدر غير معتمد",IF(OR(B22="",E22="",J22="",K22="",P22=""),"بيانات ناقصة",IF(AND(N22="نعم",Q22&lt;&gt;"موافق"),"ينقصه رأي المختص","صالح للنشر")))))</f>
        <v/>
      </c>
      <c r="T22" s="11" t="n"/>
      <c r="U22" s="11" t="inlineStr">
        <is>
          <t>في أي شهر نزل القرآن؟ | لماذا لم ير الناس جبريل؟ | هل نزل القرآن مرة واحدة؟</t>
        </is>
      </c>
      <c r="V22" s="11" t="inlineStr">
        <is>
          <t>وكلتا الحالتين مذكور فيما روي عن عائشة أم المؤمنين -رضي الله عنها- أن الحارث بن هشام رضي الله عنه سأل رسول الله -صلى الله عليه وسلم- فقال: "يا رسول الله.. كيف يأتيك الوحي؟ فقال رسول الله صلى الله عليه وسلم: أحيانا يأتيني مثل صلصلة الجرس، وهو أشد علي، فيفصم عني وقد وعيت عنه ما قال، وأحيانا يتمثل لي الملك رجلا فيكلمني فأعي ما يقول". | وروت عائشة رضي الله عنها ما كان يصيب رسول الله -صلى الله عليه وسلم- من شدة فقالت: "ولقد رأيته ينزل عليه الوحي في اليوم الشديد البرد فيفصم عنه وإن جبينه ليتفصد عرقا".</t>
        </is>
      </c>
      <c r="W22" s="11" t="n"/>
    </row>
    <row r="23" ht="150" customHeight="1">
      <c r="A23" s="10" t="inlineStr">
        <is>
          <t>ق-09</t>
        </is>
      </c>
      <c r="B23" s="10" t="inlineStr">
        <is>
          <t>ح2</t>
        </is>
      </c>
      <c r="C23" s="11" t="inlineStr">
        <is>
          <t>أساسي</t>
        </is>
      </c>
      <c r="D23" s="11" t="inlineStr">
        <is>
          <t>م-02</t>
        </is>
      </c>
      <c r="E23" s="11" t="inlineStr">
        <is>
          <t>فضائل القرآن — المبحث الثاني: إنزاله في شهر رمضان، أول المبحث — https://dorar.net/aqeeda/1378</t>
        </is>
      </c>
      <c r="F23" s="11" t="n"/>
      <c r="G23" s="11" t="n"/>
      <c r="H23" s="11" t="n"/>
      <c r="I23" s="11" t="inlineStr">
        <is>
          <t>—</t>
        </is>
      </c>
      <c r="J23" s="11" t="inlineStr">
        <is>
          <t>إذا كان شَهرُ رَمَضانَ قد نال هذه المزِيَّةَ بسبب نزول القُرْآنِ فيه، فما الظَّنُّ بشَرَفِ القُرْآنِ المنَزَّلِ نفسِه؟!
قال اللهُ سُبحانَه: ﴿شَهْرُ رَمَضَانَ الَّذِي أُنْزِلَ فِيهِ القُرْآَنُ هُدًى لِلنَّاسِ وَبَيِّنَاتٍ مِنَ الهُدَى وَالفُرْقَانِ﴾ [البقرة: 185] .
قال البقاعيُّ: (في مَدْحِه بإنزالِه فيه مَدحٌ للقُرْآنِ به) .</t>
        </is>
      </c>
      <c r="K23" s="11" t="inlineStr">
        <is>
          <t>متى نزل القرآن: نزل في شهر رمضان، وصار نزوله فيه مزيّة لهذا الشهر.</t>
        </is>
      </c>
      <c r="L23" s="11" t="inlineStr">
        <is>
          <t>متى نزل القرآن؟ | في أي شهر نزل القرآن؟ | ما علاقة القرآن برمضان؟</t>
        </is>
      </c>
      <c r="M23" s="11" t="inlineStr">
        <is>
          <t>أ</t>
        </is>
      </c>
      <c r="N23" s="11" t="inlineStr">
        <is>
          <t>لا</t>
        </is>
      </c>
      <c r="O23" s="11" t="inlineStr">
        <is>
          <t>البقرة 185 (تُعرض من المصحف)</t>
        </is>
      </c>
      <c r="P23" s="11" t="inlineStr">
        <is>
          <t>محمد — 5 أكتوبر 2026</t>
        </is>
      </c>
      <c r="Q23" s="11" t="n"/>
      <c r="R23" s="11" t="inlineStr">
        <is>
          <t>اعتُمد دون ملاحظات.</t>
        </is>
      </c>
      <c r="S23" s="12">
        <f>IF(A23="","",IF(OR(M23="ج",M23="د"),"المستوى لا يُنشر",IF(IFERROR(INDEX(المصادر!$F$2:$F$30,MATCH(D23,المصادر!$A$2:$A$30,0)),"")&lt;&gt;"نعم","المصدر غير معتمد",IF(OR(B23="",E23="",J23="",K23="",P23=""),"بيانات ناقصة",IF(AND(N23="نعم",Q23&lt;&gt;"موافق"),"ينقصه رأي المختص","صالح للنشر")))))</f>
        <v/>
      </c>
      <c r="T23" s="11" t="n"/>
      <c r="U23" s="11" t="inlineStr">
        <is>
          <t>كيف كان الوحي يأتي النبي؟ | هل نزل القرآن مرة واحدة؟ | ما فضل شهر رمضان؟</t>
        </is>
      </c>
      <c r="V23" s="11" t="n"/>
      <c r="W23" s="11" t="n"/>
    </row>
    <row r="24" ht="150" customHeight="1">
      <c r="A24" s="10" t="inlineStr">
        <is>
          <t>ق-37</t>
        </is>
      </c>
      <c r="B24" s="10" t="inlineStr">
        <is>
          <t>ح2</t>
        </is>
      </c>
      <c r="C24" s="11" t="inlineStr">
        <is>
          <t>إضافي</t>
        </is>
      </c>
      <c r="D24" s="11" t="inlineStr">
        <is>
          <t>م-02</t>
        </is>
      </c>
      <c r="E24" s="11" t="inlineStr">
        <is>
          <t>خصائص القرآن — المبحث الثامن، من كلام ابن كثير في نزول القرآن منجّماً — https://dorar.net/aqeeda/1417</t>
        </is>
      </c>
      <c r="F24" s="11" t="n"/>
      <c r="G24" s="11" t="n"/>
      <c r="H24" s="11" t="n"/>
      <c r="I24" s="11" t="inlineStr">
        <is>
          <t>—</t>
        </is>
      </c>
      <c r="J24" s="11" t="inlineStr">
        <is>
          <t>[قال ابن كثير:] (… القُرْآنِ الذي شرَّفه اللهُ على كُلِّ كِتابٍ أنزله، وجعله مُهَيمِنًا عليه وناسِخًا له وخاتمًا له؛ لأنَّ كُلَّ الكُتُبِ المتقَدِّمةِ نزلت إلى الأرضِ جملةً واحدةً، وهذا القُرْآنُ نزل مُنجَّمًا بحسَبِ الوقائِعِ؛ لشِدَّةِ الاعتناءِ به وبمن أُنزِل عليه، فكُلُّ مرَّةٍ كنُزولِ كِتابٍ مِن الكُتُبِ المتقَدِّمةِ) .</t>
        </is>
      </c>
      <c r="K24" s="11" t="inlineStr">
        <is>
          <t>نزول القرآن منجّماً (مفرّقاً) بحسب الوقائع، بخلاف الكتب السابقة التي نزلت جملة واحدة.</t>
        </is>
      </c>
      <c r="L24" s="11" t="inlineStr">
        <is>
          <t>هل نزل القرآن مرة واحدة؟ | لماذا نزل القرآن مفرّقاً؟ | كم مرة نزل القرآن؟</t>
        </is>
      </c>
      <c r="M24" s="11" t="inlineStr">
        <is>
          <t>أ</t>
        </is>
      </c>
      <c r="N24" s="11" t="inlineStr">
        <is>
          <t>لا</t>
        </is>
      </c>
      <c r="O24" s="11" t="inlineStr">
        <is>
          <t>—</t>
        </is>
      </c>
      <c r="P24" s="11" t="inlineStr">
        <is>
          <t>محمد — 5 أكتوبر 2026</t>
        </is>
      </c>
      <c r="Q24" s="11" t="n"/>
      <c r="R24" s="11" t="inlineStr">
        <is>
          <t>اعتُمد دون ملاحظات.</t>
        </is>
      </c>
      <c r="S24" s="12">
        <f>IF(A24="","",IF(OR(M24="ج",M24="د"),"المستوى لا يُنشر",IF(IFERROR(INDEX(المصادر!$F$2:$F$30,MATCH(D24,المصادر!$A$2:$A$30,0)),"")&lt;&gt;"نعم","المصدر غير معتمد",IF(OR(B24="",E24="",J24="",K24="",P24=""),"بيانات ناقصة",IF(AND(N24="نعم",Q24&lt;&gt;"موافق"),"ينقصه رأي المختص","صالح للنشر")))))</f>
        <v/>
      </c>
      <c r="T24" s="11" t="n"/>
      <c r="U24" s="11" t="inlineStr">
        <is>
          <t>في أي شهر نزل القرآن؟ | كيف كان الوحي يأتي النبي؟</t>
        </is>
      </c>
      <c r="V24" s="11" t="n"/>
      <c r="W24" s="11" t="n"/>
    </row>
    <row r="25" ht="150" customHeight="1">
      <c r="A25" s="10" t="inlineStr">
        <is>
          <t>ق-33</t>
        </is>
      </c>
      <c r="B25" s="10" t="inlineStr">
        <is>
          <t>ح3</t>
        </is>
      </c>
      <c r="C25" s="11" t="inlineStr">
        <is>
          <t>أساسي</t>
        </is>
      </c>
      <c r="D25" s="11" t="inlineStr">
        <is>
          <t>م-02</t>
        </is>
      </c>
      <c r="E25" s="11" t="inlineStr">
        <is>
          <t>المطلب الثاني: حفظ القرآن في عهد الصحابة، كلام ابن عثيمين في مراحل الجمع (مع قصّ) — https://dorar.net/aqeeda/1413</t>
        </is>
      </c>
      <c r="F25" s="11" t="n"/>
      <c r="G25" s="11" t="n"/>
      <c r="H25" s="11" t="n"/>
      <c r="I25" s="11" t="inlineStr">
        <is>
          <t>—</t>
        </is>
      </c>
      <c r="J25" s="11" t="inlineStr">
        <is>
          <t>وقال ابنُ عُثَيمين: (لكِتابةِ القُرْآنِ وجمعِه ثلاثُ مَراحِلَ:
المَرحلةُ الأُولى: في عَهدِ النَّبيِّ صلَّى اللهُ عليه وسلَّم، وكان الاعتمادُ في هذه المرحلةِ على الحِفظِ أكثَرَ من الاعتمادِ على الكِتابةِ؛ لقُوَّةِ الذَّاكِرةِ وسُرعةِ الِحفظِ، وقِلَّةِ الكاتِبينَ ووسائِلِ الكِتابةِ؛ ولذلك لم يُجمَعْ في مُصحَفٍ، بل كان من سمع آيةً حَفِظها، أو كتبها فيما تيسَّر له من عُسُبِ النَّخلِ، ورِقاعِ الجُلودِ، ولخافِ الحِجارةِ، وكِسَرِ الأكتافِ، وكان القُرَّاءُ عددًا كبيرًا.
[…]
المَرحَلةُ الثَّانيةُ: في عَهدِ أبي بكرٍ رَضِيَ اللهُ عنه في السَّنةِ الثَّانيةَ عَشرةَ من الهِجرةِ. وسَبَبُه أنَّه قُتِل في وقعةِ اليمامةِ عَدَدٌ كبيرٌ مِن القُرَّاءِ؛ منهم سالمٌ مولى أبي حُذَيفةَ؛ أحدُ من أمر النَّبيُّ صلَّى اللهُ عليه وسلَّم بأخْذِ القُرْآنِ منهم .
فأمر أبو بكرٍ رَضِيَ اللهُ عنه بجَمْعِه؛ لئلَّا يضيعَ... وقد وافق المُسلِمون أبا بكرٍ على ذلك وعدُّوه من حسَناتِه، حتى قال عليٌّ رَضِيَ اللهُ عنه: أعظَمُ النَّاسِ في المصاحِفِ أجرًا أبو بكرٍ، رحمةُ اللهِ على أبي بكرٍ؛ هو أوَّلُ من جمع كِتابَ اللهِ.
المَرحَلةُ الثَّالِثُةُ: في عَهدِ أميرِ المُؤمِنين عثمانَ بنِ عَفَّانَ رَضِيَ اللهُ عنه في السَّنةِ الخامِسةِ والعِشرينَ. وسَبَبُه اختلافُ النَّاسِ في القراءةِ بحسَبِ اختلافِ الصُّحُفِ التي في أيدي الصَّحابةِ رَضِيَ اللهُ عنهم، فخِيفَت الفِتنةُ، فأمَرَ عُثمانُ رَضِيَ اللهُ عنه أن تُجمَعَ هذه الصُّحُفُ في مُصحَفٍ واحدٍ؛ لئلَّا يختَلِفَ النَّاسُ، فيتنازعوا في كِتابِ اللهِ تعالى ويتفَرَّقوا... وقد فعل عثمانُ رَضِيَ اللهُ عنه هذا بعد أن استشار الصَّحابةَ رَضِيَ اللهُ عنهم […] وقد بقي على ما كان عليه حتى الآن متَّفَقًا عليه بين المُسلِمين متواتِرًا بينهم، يتلقَّاه الصغيرُ عن الكبيرِ، لم تعبَثْ به أيدي المفسِدين، ولم تطمِسْه أهواءُ الزَّائغِين. فللَّهِ الحمدُ رَبِّ السَّمَواتِ ورَبِّ الأرضِ رَبِّ العالَمين) .</t>
        </is>
      </c>
      <c r="K25" s="11" t="inlineStr">
        <is>
          <t>مراحل جمع القرآن الثلاث: في عهد النبي ﷺ حفظاً وكتابة متفرقة، ثم في عهد أبي بكر، ثم في عهد عثمان رضي الله عنهما، وبقاؤه متواتراً إلى اليوم.</t>
        </is>
      </c>
      <c r="L25" s="11" t="inlineStr">
        <is>
          <t>كيف جُمع القرآن؟ | متى صار القرآن كتاباً واحداً؟ | لماذا جمع أبو بكر القرآن؟ | لماذا جمع عثمان القرآن؟ | هل تغيّر القرآن منذ زمن الصحابة؟</t>
        </is>
      </c>
      <c r="M25" s="11" t="inlineStr">
        <is>
          <t>ب</t>
        </is>
      </c>
      <c r="N25" s="11" t="inlineStr">
        <is>
          <t>لا</t>
        </is>
      </c>
      <c r="O25" s="11" t="inlineStr">
        <is>
          <t>قول علي رضي الله عنه في فضل أبي بكر (أثر منقول في كلام ابن عثيمين)</t>
        </is>
      </c>
      <c r="P25" s="11" t="inlineStr">
        <is>
          <t>محمد — 5 أكتوبر 2026</t>
        </is>
      </c>
      <c r="Q25" s="11" t="n"/>
      <c r="R25" s="11" t="inlineStr">
        <is>
          <t>اعتُمد دون ملاحظات.</t>
        </is>
      </c>
      <c r="S25" s="12">
        <f>IF(A25="","",IF(OR(M25="ج",M25="د"),"المستوى لا يُنشر",IF(IFERROR(INDEX(المصادر!$F$2:$F$30,MATCH(D25,المصادر!$A$2:$A$30,0)),"")&lt;&gt;"نعم","المصدر غير معتمد",IF(OR(B25="",E25="",J25="",K25="",P25=""),"بيانات ناقصة",IF(AND(N25="نعم",Q25&lt;&gt;"موافق"),"ينقصه رأي المختص","صالح للنشر")))))</f>
        <v/>
      </c>
      <c r="T25" s="11" t="n"/>
      <c r="U25" s="11" t="inlineStr">
        <is>
          <t>كيف كان الوحي ينزل؟ | من رتّب سور القرآن؟</t>
        </is>
      </c>
      <c r="V25" s="11" t="n"/>
      <c r="W25" s="11" t="n"/>
    </row>
    <row r="26" ht="150" customHeight="1">
      <c r="A26" s="10" t="inlineStr">
        <is>
          <t>ق-38</t>
        </is>
      </c>
      <c r="B26" s="10" t="inlineStr">
        <is>
          <t>ح3</t>
        </is>
      </c>
      <c r="C26" s="11" t="inlineStr">
        <is>
          <t>إضافي</t>
        </is>
      </c>
      <c r="D26" s="11" t="inlineStr">
        <is>
          <t>م-02</t>
        </is>
      </c>
      <c r="E26" s="11" t="inlineStr">
        <is>
          <t>خصائص القرآن — المبحث السادس، المطلب الأول: حفظ القرآن في عهد النبوة، الوجهان 3 و6 — https://dorar.net/aqeeda/1411</t>
        </is>
      </c>
      <c r="F26" s="11" t="n"/>
      <c r="G26" s="11" t="n"/>
      <c r="H26" s="11" t="n"/>
      <c r="I26" s="11" t="inlineStr">
        <is>
          <t>—</t>
        </is>
      </c>
      <c r="J26" s="11" t="inlineStr">
        <is>
          <t>للحِفظِ في عَهدِ النُّبُوَّةِ عِدَّةُ أوجُهٍ؛ منها:
[…]
3- كِتابةُ الوَحيِ ومُقابلَتُه:
قال الحارِثُ المحاسبيُّ: (كِتابةُ القُرْآنِ ليست مُحدَثةً؛ فإنَّه صلَّى اللهُ عليه وسلَّم كان يأمُرُ بكِتابتِه ولكِنَّه كان مُفَرَّقًا في الرِّقاعِ والأكتافِ والعُسُبِ  ، وإنما أمر الصِّدِّيقُ بنَسْخِها من مكانٍ إلى مكانٍ، وكان ذلك بمَنْزِلةِ أوراقٍ وُجِدَت في بيتِ رَسولِ الله صلَّى اللهُ عليه وسلَّم فيها القُرْآنُ مُنتَشِرٌ، فجَمَعها جامِعٌ وربطَها بخَيطٍ حتى لا يَضِيعَ منها شَيءٌ) .
وقال أبو عَمرٍو الدَّاني: (إنَّ رَسولَ اللهِ صلَّى اللهُ عليه وسلَّم سَنَّ جمعَ القُرْآنِ وكِتابتَه، وأمر بذلك وأملاه على كَتَبَتِه، وأنَّه صلَّى اللهُ عليه وسلَّم لم يَمُتْ حتى حَفِظَ جميعَ القُرْآنِ جماعةٌ من أصحابِه) .
[…]
6- قُوَّةُ الحافِظةِ عند العَرَبِ:
كان العَرَبُ أهلَ حافِظةٍ لا تكادُ تُخطِئُ، وذاكِرةٍ لا يكادُ يَعزُبُ عنها شيءٌ، وخاصَّةً أنَّ القُرْآنَ جاء بأسلوبٍ بارعٍ، وبيانٍ رَفيعٍ؛ ممَّا جعله أحرى لحِفْظِه، والاهتمامِ به، حتى كَثُر آخِذوه صدرًا وسَطرًا.</t>
        </is>
      </c>
      <c r="K26" s="11" t="inlineStr">
        <is>
          <t>كيف حُفظ القرآن زمن النبي ﷺ: كان يأمر بكتابته فكُتب مفرّقاً في الرقاع والأكتاف، وحفظه جماعة من أصحابه، وكان العرب أهل حافظة قوية.</t>
        </is>
      </c>
      <c r="L26" s="11" t="inlineStr">
        <is>
          <t>كيف حُفظ القرآن زمن النبي؟ | هل كُتب القرآن في حياة النبي؟ | كيف استطاع الصحابة حفظ القرآن؟</t>
        </is>
      </c>
      <c r="M26" s="11" t="inlineStr">
        <is>
          <t>أ</t>
        </is>
      </c>
      <c r="N26" s="11" t="inlineStr">
        <is>
          <t>لا</t>
        </is>
      </c>
      <c r="O26" s="11" t="inlineStr">
        <is>
          <t>—</t>
        </is>
      </c>
      <c r="P26" s="11" t="inlineStr">
        <is>
          <t>محمد — 5 أكتوبر 2026</t>
        </is>
      </c>
      <c r="Q26" s="11" t="n"/>
      <c r="R26" s="11" t="inlineStr">
        <is>
          <t>اعتُمد دون ملاحظات.</t>
        </is>
      </c>
      <c r="S26" s="12">
        <f>IF(A26="","",IF(OR(M26="ج",M26="د"),"المستوى لا يُنشر",IF(IFERROR(INDEX(المصادر!$F$2:$F$30,MATCH(D26,المصادر!$A$2:$A$30,0)),"")&lt;&gt;"نعم","المصدر غير معتمد",IF(OR(B26="",E26="",J26="",K26="",P26=""),"بيانات ناقصة",IF(AND(N26="نعم",Q26&lt;&gt;"موافق"),"ينقصه رأي المختص","صالح للنشر")))))</f>
        <v/>
      </c>
      <c r="T26" s="11" t="n"/>
      <c r="U26" s="11" t="inlineStr">
        <is>
          <t>لماذا جمع عثمان القرآن؟ | كم عدد حفّاظ القرآن اليوم؟</t>
        </is>
      </c>
      <c r="V26" s="11" t="n"/>
      <c r="W26" s="11" t="n"/>
    </row>
    <row r="27" ht="150" customHeight="1">
      <c r="A27" s="10" t="inlineStr">
        <is>
          <t>ق-36</t>
        </is>
      </c>
      <c r="B27" s="10" t="inlineStr">
        <is>
          <t>ح6</t>
        </is>
      </c>
      <c r="C27" s="11" t="inlineStr">
        <is>
          <t>أساسي</t>
        </is>
      </c>
      <c r="D27" s="11" t="inlineStr">
        <is>
          <t>م-02</t>
        </is>
      </c>
      <c r="E27" s="11" t="inlineStr">
        <is>
          <t>فضائل القرآن — المبحث الثامن: الوعد بالثواب على قراءته ومدارسته — https://dorar.net/aqeeda/1390</t>
        </is>
      </c>
      <c r="F27" s="11" t="n"/>
      <c r="G27" s="11" t="n"/>
      <c r="H27" s="11" t="n"/>
      <c r="I27" s="11" t="inlineStr">
        <is>
          <t>—</t>
        </is>
      </c>
      <c r="J27" s="11" t="inlineStr">
        <is>
          <t>عن أبي هُرَيرةَ رَضِيَ اللهُ عنه أنَّ رَسولَ اللهِ صلَّى اللهُ عليه وسلَّم قال: ((… وما اجتمع قومٌ في بيتٍ من بُيوتِ اللهِ يَتْلون كِتابَ اللهِ ويتدارسونَه بينهم، إلَّا نزلت عليهم السَّكينةُ، وغَشِيَتهم الرَّحمةُ، وحَفَّتْهم المَلائِكةُ، وذكرهم اللهُ فيمَن عِندَه )) .
[…]
قال ابنُ عُثَيمين: (هذا القُرْآنُ له فضائلُ عظيمةٌ؛ فضائِلُ عامَّةٌ، وفضائِلُ في آياتٍ وسُوَرٍ خاصَّةٍ؛ مثلًا الفاتحةُ هي السَّبعُ المثاني وهي أمُّ الكِتابِ، آيةُ الكرسيِّ هي أعظَمُ آيةٍ في كِتابِ الله، وهَلُمَّ جَرًّا، هناك آياتٌ أو سُوَرٌ لها فضلٌ خاصٌّ، أمَّا القُرْآنُ عمومًا فله أيضًا فضائِلُ عامَّةٌ، وهذا يوجِبُ علينا أن نحرِصَ غايةَ الحِرصِ على تلاوةِ كِتابِ اللهِ عَزَّ وجَلَّ ليلًا ونهارًا) .</t>
        </is>
      </c>
      <c r="K27" s="11" t="inlineStr">
        <is>
          <t>فضل تلاوة القرآن ومدارسته، والحثّ على تلاوته ليلاً ونهاراً.</t>
        </is>
      </c>
      <c r="L27" s="11" t="inlineStr">
        <is>
          <t>ما فضل قراءة القرآن؟ | لماذا أقرأ القرآن؟ | هل في قراءة القرآن أجر؟ | ما فائدة الاجتماع على القرآن؟</t>
        </is>
      </c>
      <c r="M27" s="11" t="inlineStr">
        <is>
          <t>أ</t>
        </is>
      </c>
      <c r="N27" s="11" t="inlineStr">
        <is>
          <t>لا</t>
        </is>
      </c>
      <c r="O27" s="11" t="inlineStr">
        <is>
          <t>حديث أبي هريرة: «وما اجتمع قوم في بيت من بيوت الله…» — صحيح مسلم (2699)؛ يُتحقق من رقمه في الموسوعة الحديثية</t>
        </is>
      </c>
      <c r="P27" s="11" t="inlineStr">
        <is>
          <t>محمد — 5 أكتوبر 2026</t>
        </is>
      </c>
      <c r="Q27" s="11" t="n"/>
      <c r="R27" s="11" t="inlineStr">
        <is>
          <t>اعتُمد دون ملاحظات.</t>
        </is>
      </c>
      <c r="S27" s="12">
        <f>IF(A27="","",IF(OR(M27="ج",M27="د"),"المستوى لا يُنشر",IF(IFERROR(INDEX(المصادر!$F$2:$F$30,MATCH(D27,المصادر!$A$2:$A$30,0)),"")&lt;&gt;"نعم","المصدر غير معتمد",IF(OR(B27="",E27="",J27="",K27="",P27=""),"بيانات ناقصة",IF(AND(N27="نعم",Q27&lt;&gt;"موافق"),"ينقصه رأي المختص","صالح للنشر")))))</f>
        <v/>
      </c>
      <c r="T27" s="11" t="n"/>
      <c r="U27" s="11" t="inlineStr">
        <is>
          <t>كيف أبدأ قراءة القرآن؟ | ما حكم قراءة القرآن للحائض؟</t>
        </is>
      </c>
      <c r="V27" s="11" t="n"/>
      <c r="W27" s="11" t="n"/>
    </row>
    <row r="28" ht="150" customHeight="1">
      <c r="A28" s="10" t="inlineStr">
        <is>
          <t>ق-39</t>
        </is>
      </c>
      <c r="B28" s="10" t="inlineStr">
        <is>
          <t>ح6</t>
        </is>
      </c>
      <c r="C28" s="11" t="inlineStr">
        <is>
          <t>إضافي</t>
        </is>
      </c>
      <c r="D28" s="11" t="inlineStr">
        <is>
          <t>م-02</t>
        </is>
      </c>
      <c r="E28" s="11" t="inlineStr">
        <is>
          <t>خصائص القرآن — المبحث السادس، المطلب الأول، الوجه 5: الحض على تعلم القرآن وتعليمه — https://dorar.net/aqeeda/1411</t>
        </is>
      </c>
      <c r="F28" s="11" t="n"/>
      <c r="G28" s="11" t="n"/>
      <c r="H28" s="11" t="n"/>
      <c r="I28" s="11" t="inlineStr">
        <is>
          <t>—</t>
        </is>
      </c>
      <c r="J28" s="11" t="inlineStr">
        <is>
          <t>5- الحَضُّ على تعَلُّمِ القُرْآنِ وتعليمِه:
عن عُثمانَ بنِ عَفَّانَ رَضِيَ اللهُ عنه، عن النَّبيِّ صلَّى اللهُ عليه وسلَّم قال: ((خيرُكم من تعلَّم القُرْآنَ وعَلَّمه )) .
وكان النَّبيُّ صلَّى اللهُ عليه وسلَّم يحُثُّ أصحابَه رَضِيَ اللهُ عنهم على تعَلُّمِ القُرْآنِ وتعليمِه، وحِفْظِه وتحفيظِه، وكان يُقَدِّمُ أكثَرَهم أخذًا للقُرْآنِ في إمامةِ الصَّلَواتِ، وقيادةِ السَّرايا.</t>
        </is>
      </c>
      <c r="K28" s="11" t="inlineStr">
        <is>
          <t>الحثّ على تعلّم القرآن وتعليمه: «خيركم من تعلّم القرآن وعلّمه»، وكان النبي ﷺ يقدّم أكثر أصحابه أخذاً للقرآن.</t>
        </is>
      </c>
      <c r="L28" s="11" t="inlineStr">
        <is>
          <t>ما فضل تعلّم القرآن؟ | هل أتعلّم القرآن مع غيري؟ | خيركم من تعلم القرآن وعلمه</t>
        </is>
      </c>
      <c r="M28" s="11" t="inlineStr">
        <is>
          <t>أ</t>
        </is>
      </c>
      <c r="N28" s="11" t="inlineStr">
        <is>
          <t>لا</t>
        </is>
      </c>
      <c r="O28" s="11" t="inlineStr">
        <is>
          <t>حديث عثمان: «خيركم من تعلّم القرآن وعلّمه» — صحيح البخاري (5027) — يُتحقق من الرقم</t>
        </is>
      </c>
      <c r="P28" s="11" t="inlineStr">
        <is>
          <t>محمد — 5 أكتوبر 2026</t>
        </is>
      </c>
      <c r="Q28" s="11" t="n"/>
      <c r="R28" s="11" t="inlineStr">
        <is>
          <t>اعتُمد دون ملاحظات.</t>
        </is>
      </c>
      <c r="S28" s="12">
        <f>IF(A28="","",IF(OR(M28="ج",M28="د"),"المستوى لا يُنشر",IF(IFERROR(INDEX(المصادر!$F$2:$F$30,MATCH(D28,المصادر!$A$2:$A$30,0)),"")&lt;&gt;"نعم","المصدر غير معتمد",IF(OR(B28="",E28="",J28="",K28="",P28=""),"بيانات ناقصة",IF(AND(N28="نعم",Q28&lt;&gt;"موافق"),"ينقصه رأي المختص","صالح للنشر")))))</f>
        <v/>
      </c>
      <c r="T28" s="11" t="n"/>
      <c r="U28" s="11" t="inlineStr">
        <is>
          <t>أين أتعلم القرآن؟ | ما أحكام التجويد؟</t>
        </is>
      </c>
      <c r="V28" s="11" t="n"/>
      <c r="W28" s="11" t="n"/>
    </row>
    <row r="29" ht="150" customHeight="1">
      <c r="A29" s="10" t="inlineStr">
        <is>
          <t>ق-10</t>
        </is>
      </c>
      <c r="B29" s="10" t="inlineStr">
        <is>
          <t>ح2</t>
        </is>
      </c>
      <c r="C29" s="11" t="inlineStr">
        <is>
          <t>أساسي</t>
        </is>
      </c>
      <c r="D29" s="11" t="inlineStr">
        <is>
          <t>م-03</t>
        </is>
      </c>
      <c r="E29" s="11" t="inlineStr">
        <is>
          <t>مباحث في علوم القرآن، مناع القطان — الفصل 4: المكي والمدني — الفرق بين المكي والمدني (ص 60 حسب فهرس الكتاب) — https://quranpedia.net/book/23563</t>
        </is>
      </c>
      <c r="F29" s="11" t="inlineStr">
        <is>
          <t>الفرق بين المكي والمدني</t>
        </is>
      </c>
      <c r="G29" s="11" t="n"/>
      <c r="H29" s="11" t="inlineStr">
        <is>
          <t>ما الفرق بين المكي والمدني؟ | ما معنى سورة مكية؟ | ما معنى سورة مدنية؟</t>
        </is>
      </c>
      <c r="I29" s="11" t="inlineStr">
        <is>
          <t>—</t>
        </is>
      </c>
      <c r="J29" s="11" t="inlineStr">
        <is>
          <t>للعلماء في الفرق بين المكي والمدني ثلاثة آراء اصطلاحية، كل رأي منها بُنِيَ على اعتبار خاص.
الأول: اعتبار زمن النزول، فالمكي: ما نزل قبل الهجرة وإن كان بغير مكة، والمدني: ما نزل بعد الهجرة وإن كان بغير المدينة، فما نزل بعد الهجرة ولو بمكة، أو عرفة: مدني، كالذي نزل عام الفتح، كقوله تعالى: ﴿إِنَّ اللَّهَ يَأْمُرُكُمْ أَنْ تُؤَدُّوا الْأَمَانَاتِ إِلَى أَهْلِهَا﴾ [النساء: 58]، فإنها نزلت بمكة في جوف الكعبة عام الفتح الأعظم، أو نزل بحجة الوداع كقوله تعالى: ﴿الْيَوْمَ أَكْمَلْتُ لَكُمْ دِينَكُمْ وَأَتْمَمْتُ عَلَيْكُمْ نِعْمَتِي وَرَضِيتُ لَكُمُ الْإِسْلَامَ دِينًا﴾ [المائدة: 3]، وهذا الرأي أولى من الرأيين بعده لحصره واطراده.
[…]</t>
        </is>
      </c>
      <c r="K29" s="11" t="inlineStr">
        <is>
          <t>معنى «مكي» و«مدني»: المكي ما نزل قبل الهجرة، والمدني ما نزل بعدها، وهو أرجح الآراء الثلاثة.</t>
        </is>
      </c>
      <c r="L29" s="11" t="inlineStr">
        <is>
          <t>ما معنى سورة مكية ومدنية؟ | يعني إيش مكية؟ | ليش مكتوب على السورة مدنية؟ | هل المكي ما نزل في مكة فقط؟</t>
        </is>
      </c>
      <c r="M29" s="11" t="inlineStr">
        <is>
          <t>أ</t>
        </is>
      </c>
      <c r="N29" s="11" t="inlineStr">
        <is>
          <t>لا</t>
        </is>
      </c>
      <c r="O29" s="11" t="inlineStr">
        <is>
          <t>النساء 58 (جزء)؛ المائدة 3 (جزء) — تُعرض من المصحف.</t>
        </is>
      </c>
      <c r="P29" s="11" t="inlineStr">
        <is>
          <t>محمد — 5 أكتوبر 2026</t>
        </is>
      </c>
      <c r="Q29" s="11" t="n"/>
      <c r="R29" s="11" t="inlineStr">
        <is>
          <t>اعتُمد دون ملاحظات.</t>
        </is>
      </c>
      <c r="S29" s="12">
        <f>IF(A29="","",IF(OR(M29="ج",M29="د"),"المستوى لا يُنشر",IF(IFERROR(INDEX(المصادر!$F$2:$F$30,MATCH(D29,المصادر!$A$2:$A$30,0)),"")&lt;&gt;"نعم","المصدر غير معتمد",IF(OR(B29="",E29="",J29="",K29="",P29=""),"بيانات ناقصة",IF(AND(N29="نعم",Q29&lt;&gt;"موافق"),"ينقصه رأي المختص","صالح للنشر")))))</f>
        <v/>
      </c>
      <c r="T29" s="11" t="n"/>
      <c r="U29" s="11" t="inlineStr">
        <is>
          <t>ما الفرق بين أسلوب السور المكية والمدنية؟ | في أي شهر نزل القرآن؟</t>
        </is>
      </c>
      <c r="V29" s="11" t="n"/>
      <c r="W29" s="11" t="n"/>
    </row>
    <row r="30" ht="150" customHeight="1">
      <c r="A30" s="10" t="inlineStr">
        <is>
          <t>ق-05</t>
        </is>
      </c>
      <c r="B30" s="10" t="inlineStr">
        <is>
          <t>ح5</t>
        </is>
      </c>
      <c r="C30" s="11" t="inlineStr">
        <is>
          <t>أساسي</t>
        </is>
      </c>
      <c r="D30" s="11" t="inlineStr">
        <is>
          <t>م-03</t>
        </is>
      </c>
      <c r="E30" s="11" t="inlineStr">
        <is>
          <t>مباحث في علوم القرآن، مناع القطان — الفصل 4: المكي والمدني — مدخل الفصل (ص 49–50 حسب فهرس الكتاب) — https://quranpedia.net/book/23563</t>
        </is>
      </c>
      <c r="F30" s="11" t="inlineStr">
        <is>
          <t>خصائص الآيات المكية والمدنية</t>
        </is>
      </c>
      <c r="G30" s="11" t="n"/>
      <c r="H30" s="11" t="inlineStr">
        <is>
          <t>ما موضوعات القرآن؟ | عن ماذا يتكلم القرآن؟ | ما الرسالة الأساسية في القرآن؟</t>
        </is>
      </c>
      <c r="I30" s="11" t="inlineStr">
        <is>
          <t>—</t>
        </is>
      </c>
      <c r="J30" s="11" t="inlineStr">
        <is>
          <t>والذي يقرأ القرآن الكريم يجد للآيات المكية خصائص ليست للآيات المدنية في وقعها ومعانيها، وإن كانت الثانية مبنية على الأولى في الأحكام والتشريع.
فحيث كان القوم في جاهلية تعمى وتصم، يعبدون الأوثان، ويشركون بالله، وينكرون الوحي، ويكذبون بيوم الدين […] نزل الوحي المكي قوارع زاجرة، وشهبًا منذرة، وحججًا قاطعة، يحطم وثنيتهم في العقيدة، ويدعوهم إلى توحيد الألوهية والربوبية، ويهتك أستار فسادهم، ويسَفِّه أحلامهم، ويقيم دلائل النبوة، ويضرب الأمثلة للحياة الآخرة وما فيها من جنة ونار، ويتحداهم -على فصاحتهم- بأن يأتوا بمثل القرآن، ويسوق إليهم قصص المكذبين الغابرين عبرة وذكرى […]
وحين تكونت الجماعة المؤمنة بالله وملائكته وكتبه ورسله واليوم الآخر وبالقدر خيره وشره، وامتُحنت في عقيدتها بأذى المشركين فصبرت وهاجرت بدينها مؤثرة ما عند الله على متع الحياة -حين تكونت هذه الجماعة- نرى الآيات المدنية طويلة المقاطع، تتناول أحكام الإسلام وحدوده، وتدعو إلى الجهاد والاستشهاد في سبيل الله، وتفصل أصول التشريع، وتضع قواعد المجتمع، وتحدد روابط الأسرة، وصلات الأفراد، وعلاقات الدول والأمم، كما تفضح المنافقين وتكشف دخيلتهم، وتجادل أهل الكتاب وتلجم أفواههم -وهذا هو الطابع العام للقرآن المدني.</t>
        </is>
      </c>
      <c r="K30" s="11" t="inlineStr">
        <is>
          <t>أبرز موضوعات القرآن: التوحيد، ودلائل النبوة، والآخرة والجنة والنار، وقصص الأمم السابقة، ثم الأحكام وقواعد المجتمع والأسرة.</t>
        </is>
      </c>
      <c r="L30" s="11" t="inlineStr">
        <is>
          <t>عن ماذا يتكلم القرآن؟ | ما الرسالة الأساسية في القرآن؟ | هل القرآن كتاب أحكام فقط؟ | هل يتكلم القرآن عن يوم القيامة؟ | ماذا يطلب القرآن من الإنسان؟</t>
        </is>
      </c>
      <c r="M30" s="11" t="inlineStr">
        <is>
          <t>أ</t>
        </is>
      </c>
      <c r="N30" s="11" t="inlineStr">
        <is>
          <t>نعم</t>
        </is>
      </c>
      <c r="O30" s="11" t="inlineStr">
        <is>
          <t>—</t>
        </is>
      </c>
      <c r="P30" s="11" t="inlineStr">
        <is>
          <t>محمد — 5 أكتوبر 2026</t>
        </is>
      </c>
      <c r="Q30" s="11" t="inlineStr">
        <is>
          <t>موافق</t>
        </is>
      </c>
      <c r="R30" s="11" t="inlineStr">
        <is>
          <t>مقطع حساس: وافق المختص الأعلم.</t>
        </is>
      </c>
      <c r="S30" s="12">
        <f>IF(A30="","",IF(OR(M30="ج",M30="د"),"المستوى لا يُنشر",IF(IFERROR(INDEX(المصادر!$F$2:$F$30,MATCH(D30,المصادر!$A$2:$A$30,0)),"")&lt;&gt;"نعم","المصدر غير معتمد",IF(OR(B30="",E30="",J30="",K30="",P30=""),"بيانات ناقصة",IF(AND(N30="نعم",Q30&lt;&gt;"موافق"),"ينقصه رأي المختص","صالح للنشر")))))</f>
        <v/>
      </c>
      <c r="T30" s="11" t="n"/>
      <c r="U30" s="11" t="inlineStr">
        <is>
          <t>ما قصة يوسف عليه السلام؟ | ما تفسير سورة الفاتحة؟</t>
        </is>
      </c>
      <c r="V30" s="11" t="n"/>
      <c r="W30" s="11" t="n"/>
    </row>
    <row r="31" ht="150" customHeight="1">
      <c r="A31" s="10" t="inlineStr">
        <is>
          <t>ق-06</t>
        </is>
      </c>
      <c r="B31" s="10" t="inlineStr">
        <is>
          <t>ح5</t>
        </is>
      </c>
      <c r="C31" s="11" t="inlineStr">
        <is>
          <t>أساسي</t>
        </is>
      </c>
      <c r="D31" s="11" t="inlineStr">
        <is>
          <t>م-03</t>
        </is>
      </c>
      <c r="E31" s="11" t="inlineStr">
        <is>
          <t>مباحث في علوم القرآن، مناع القطان — الفصل 21: قصص القرآن — معنى القصص، وأنواعه، وفوائده (ص 316–317 حسب فهرس الكتاب) — https://quranpedia.net/book/23563</t>
        </is>
      </c>
      <c r="F31" s="11" t="inlineStr">
        <is>
          <t>قصص القرآن</t>
        </is>
      </c>
      <c r="G31" s="11" t="n"/>
      <c r="H31" s="11" t="inlineStr">
        <is>
          <t>هل في القرآن قصص؟ | ما قصص القرآن؟ | هل يذكر القرآن الأنبياء؟</t>
        </is>
      </c>
      <c r="I31" s="11" t="inlineStr">
        <is>
          <t>—</t>
        </is>
      </c>
      <c r="J31" s="11" t="inlineStr">
        <is>
          <t>وقصص القرآن: أخباره عن أحوال الأمم الماضية، والنبوات السابقة، والحوادث الواقعة - وقد اشتمل القرآن على كثير من وقائع الماضي، وتاريخ الأمم، وذكر البلاد والديار، وتتبع آثار كل قوم، وحكى عنهم صورة ناطقة لما كانوا عليه.
والقصص في القرآن ثلاثة أنواع:
النوع الأول: قصص الأنبياء، وقد تضمن دعوتهم إلى قومهم، والمعجزات التي أيدهم الله بها، وموقف المعاندين منهم، ومراحل الدعوة وتطورها وعاقبة المؤمنين والمكذبين، كقصص نوح، وإبراهيم، وموسى، وهارون، وعيسى، ومحمد، وغيرهم من الأنبياء والمرسلين، عليهم جميعًا أفضل الصلاة والسلام.
[…]
النوع الثالث: قصص يتعلق بالحوادث التي وقعت في زمن رسول الله -صلى الله عليه وسلم- كغزوة بدر وأحد في سورة آل عمران، وغزوة حنين وتبوك في التوبة، وغزوة الأحزاب في سورة الأحزاب، والهجرة، والإسراء، ونحو ذلك.
وللقصص القرآني فوائد نجمل أهمها فيما يأتي:
1- إيضاح أسس الدعوة إلى الله، وبيان أصول الشرائع التي بعث بها كل نبي: ﴿وَمَا أَرْسَلْنَا مِنْ قَبْلِكَ مِنْ رَسُولٍ إِلَّا نُوحِي إِلَيْهِ أَنَّهُ لَا إِلَهَ إِلَّا أَنَا فَاعْبُدُونِ﴾ [الأنبياء: 25].
[…]</t>
        </is>
      </c>
      <c r="K31" s="11" t="inlineStr">
        <is>
          <t>هل في القرآن قصص؟ نعم: قصص الأنبياء، وأحداث زمن النبي ﷺ، والغاية منها بيان أسس الدعوة إلى التوحيد.</t>
        </is>
      </c>
      <c r="L31" s="11" t="inlineStr">
        <is>
          <t>هل القرآن فيه قصص؟ | هل يذكر القرآن موسى وعيسى؟ | ليش القرآن يحكي قصص الأنبياء؟ | هل قصص القرآن حقيقية؟</t>
        </is>
      </c>
      <c r="M31" s="11" t="inlineStr">
        <is>
          <t>أ</t>
        </is>
      </c>
      <c r="N31" s="11" t="inlineStr">
        <is>
          <t>لا</t>
        </is>
      </c>
      <c r="O31" s="11" t="inlineStr">
        <is>
          <t>الأنبياء 25 (كاملة) — تُعرض من المصحف.</t>
        </is>
      </c>
      <c r="P31" s="11" t="inlineStr">
        <is>
          <t>محمد — 5 أكتوبر 2026</t>
        </is>
      </c>
      <c r="Q31" s="11" t="n"/>
      <c r="R31" s="11" t="inlineStr">
        <is>
          <t>اعتُمد دون ملاحظات.</t>
        </is>
      </c>
      <c r="S31" s="12">
        <f>IF(A31="","",IF(OR(M31="ج",M31="د"),"المستوى لا يُنشر",IF(IFERROR(INDEX(المصادر!$F$2:$F$30,MATCH(D31,المصادر!$A$2:$A$30,0)),"")&lt;&gt;"نعم","المصدر غير معتمد",IF(OR(B31="",E31="",J31="",K31="",P31=""),"بيانات ناقصة",IF(AND(N31="نعم",Q31&lt;&gt;"موافق"),"ينقصه رأي المختص","صالح للنشر")))))</f>
        <v/>
      </c>
      <c r="T31" s="11" t="n"/>
      <c r="U31" s="11" t="inlineStr">
        <is>
          <t>ما قصة نوح بالتفصيل؟ | هل قصص القرآن منقولة من التوراة؟</t>
        </is>
      </c>
      <c r="V31" s="11" t="n"/>
      <c r="W31" s="11" t="n"/>
    </row>
    <row r="32" ht="150" customHeight="1">
      <c r="A32" s="10" t="inlineStr">
        <is>
          <t>ق-15</t>
        </is>
      </c>
      <c r="B32" s="10" t="inlineStr">
        <is>
          <t>ح4</t>
        </is>
      </c>
      <c r="C32" s="11" t="inlineStr">
        <is>
          <t>أساسي</t>
        </is>
      </c>
      <c r="D32" s="11" t="inlineStr">
        <is>
          <t>م-03</t>
        </is>
      </c>
      <c r="E32" s="11" t="inlineStr">
        <is>
          <t>مباحث في علوم القرآن، مناع القطان — الفصل 8: جمع القرآن وترتيبه — ترتيب الآيات، وسور القرآن وآياته (ص 140، 145 حسب فهرس الكتاب) — https://quranpedia.net/book/23563</t>
        </is>
      </c>
      <c r="F32" s="11" t="inlineStr">
        <is>
          <t>السورة والآية وعدد السور</t>
        </is>
      </c>
      <c r="G32" s="11" t="n"/>
      <c r="H32" s="11" t="inlineStr">
        <is>
          <t>ما الفرق بين السورة والآية؟ | كم عدد سور القرآن؟ | كم عدد آيات القرآن؟</t>
        </is>
      </c>
      <c r="I32" s="11" t="inlineStr">
        <is>
          <t>—</t>
        </is>
      </c>
      <c r="J32" s="11" t="inlineStr">
        <is>
          <t>القرآن سور وآيات منها القصار والطوال، والآية: هي الجملة من كلام الله المندرجة في سورة من القرآن، والسورة: هي الجملة من آيات القرآن ذات المطلع والمقطع.
[…]
وتعداد السور: مائة وأربع عشرة سورة، وقيل: وثلاث عشرة بجعل الأنفال وبراءة سورة واحدة.
أما تعداد الآيات فستة آلاف ومائتا آية، واختلفوا فيما زاد عن ذلك.
وأطول الآيات آية الدَّيْن، وأطول السور سورة البقرة.
وهذه التجزئة تيسر على الناس الحفظ، وتحملهم على الدراسة، وتشعر القارئ لسورة من السور بأنه قد أخذ قسطاً وافيًا وطائفة مستقلة من أصول دينه وأحكام شريعته.</t>
        </is>
      </c>
      <c r="K32" s="11" t="inlineStr">
        <is>
          <t>ما السورة وما الآية؟ وعدد سور القرآن 114 سورة، وآياته ستة آلاف ومئتان وزيادة.</t>
        </is>
      </c>
      <c r="L32" s="11" t="inlineStr">
        <is>
          <t>كم عدد سور القرآن؟ | ما الفرق بين السورة والآية؟ | كم آية في القرآن؟ | ما أطول سورة؟</t>
        </is>
      </c>
      <c r="M32" s="11" t="inlineStr">
        <is>
          <t>أ</t>
        </is>
      </c>
      <c r="N32" s="11" t="inlineStr">
        <is>
          <t>لا</t>
        </is>
      </c>
      <c r="O32" s="11" t="inlineStr">
        <is>
          <t>—</t>
        </is>
      </c>
      <c r="P32" s="11" t="inlineStr">
        <is>
          <t>محمد — 5 أكتوبر 2026</t>
        </is>
      </c>
      <c r="Q32" s="11" t="n"/>
      <c r="R32" s="11" t="inlineStr">
        <is>
          <t>اعتُمد دون ملاحظات.</t>
        </is>
      </c>
      <c r="S32" s="12">
        <f>IF(A32="","",IF(OR(M32="ج",M32="د"),"المستوى لا يُنشر",IF(IFERROR(INDEX(المصادر!$F$2:$F$30,MATCH(D32,المصادر!$A$2:$A$30,0)),"")&lt;&gt;"نعم","المصدر غير معتمد",IF(OR(B32="",E32="",J32="",K32="",P32=""),"بيانات ناقصة",IF(AND(N32="نعم",Q32&lt;&gt;"موافق"),"ينقصه رأي المختص","صالح للنشر")))))</f>
        <v/>
      </c>
      <c r="T32" s="11" t="n"/>
      <c r="U32" s="11" t="inlineStr">
        <is>
          <t>من رتّب سور القرآن؟ | كيف أجد آية في المصحف؟</t>
        </is>
      </c>
      <c r="V32" s="11" t="n"/>
      <c r="W32" s="11" t="n"/>
    </row>
    <row r="33" ht="150" customHeight="1">
      <c r="A33" s="10" t="inlineStr">
        <is>
          <t>ق-16</t>
        </is>
      </c>
      <c r="B33" s="10" t="inlineStr">
        <is>
          <t>ح4</t>
        </is>
      </c>
      <c r="C33" s="11" t="inlineStr">
        <is>
          <t>أساسي</t>
        </is>
      </c>
      <c r="D33" s="11" t="inlineStr">
        <is>
          <t>م-03</t>
        </is>
      </c>
      <c r="E33" s="11" t="inlineStr">
        <is>
          <t>مباحث في علوم القرآن، مناع القطان — الفصل 8: جمع القرآن وترتيبه — ترتيب الآيات وترتيب السور (ص 140–145 حسب فهرس الكتاب) — https://quranpedia.net/book/23563</t>
        </is>
      </c>
      <c r="F33" s="11" t="inlineStr">
        <is>
          <t>ترتيب الآيات والسور</t>
        </is>
      </c>
      <c r="G33" s="11" t="n"/>
      <c r="H33" s="11" t="inlineStr">
        <is>
          <t>من رتّب القرآن؟ | هل ترتيب المصحف حسب النزول؟ | لماذا السور مرتبة هكذا؟</t>
        </is>
      </c>
      <c r="I33" s="11" t="inlineStr">
        <is>
          <t>—</t>
        </is>
      </c>
      <c r="J33" s="11" t="inlineStr">
        <is>
          <t>وترتيب الآيات في القرآن الكريم توقيفي عن رسول الله -صلى الله عليه وسلم- وحكى بعضهم الإجماع على ذلك […] فقد كان جبريل يتنزل بالآيات على رسول الله -صلى الله عليه وسلم- ويرشده إلى موضعها من السورة أو الآيات التي نزلت قبل، فيأمر الرسول كتبة الوحي بكتابتها في موضعها […]
وكان جبريل يعارض رسول الله -صلى الله عليه وسلم- بالقرآن كل عام مرة في رمضان، وعارضه في العام الأخير من حياته مرتين، وكان ذلك العرض على الترتيب المعروف الآن.
[…]
وبهذا يترجح أن ترتيب السور توقيفي كترتيب الآيات.</t>
        </is>
      </c>
      <c r="K33" s="11" t="inlineStr">
        <is>
          <t>لماذا ليس ترتيب المصحف بحسب النزول؟ لأن ترتيب الآيات بأمر النبي ﷺ عن جبريل، والراجح أن ترتيب السور كذلك.</t>
        </is>
      </c>
      <c r="L33" s="11" t="inlineStr">
        <is>
          <t>ليش السور مو مرتبة حسب نزولها؟ | من رتب سور القرآن؟ | هل ترتيب الآيات من النبي؟ | ليش البقرة أول القرآن مع إنها مدنية؟</t>
        </is>
      </c>
      <c r="M33" s="11" t="inlineStr">
        <is>
          <t>أ</t>
        </is>
      </c>
      <c r="N33" s="11" t="inlineStr">
        <is>
          <t>لا</t>
        </is>
      </c>
      <c r="O33" s="11" t="inlineStr">
        <is>
          <t>—</t>
        </is>
      </c>
      <c r="P33" s="11" t="inlineStr">
        <is>
          <t>محمد — 5 أكتوبر 2026</t>
        </is>
      </c>
      <c r="Q33" s="11" t="n"/>
      <c r="R33" s="11" t="inlineStr">
        <is>
          <t>نُفّذ: جملة المراجع تظهر سطراً مستقلاً بعنوان «تنبيه المراجع» لا داخل الاقتباس.</t>
        </is>
      </c>
      <c r="S33" s="12">
        <f>IF(A33="","",IF(OR(M33="ج",M33="د"),"المستوى لا يُنشر",IF(IFERROR(INDEX(المصادر!$F$2:$F$30,MATCH(D33,المصادر!$A$2:$A$30,0)),"")&lt;&gt;"نعم","المصدر غير معتمد",IF(OR(B33="",E33="",J33="",K33="",P33=""),"بيانات ناقصة",IF(AND(N33="نعم",Q33&lt;&gt;"موافق"),"ينقصه رأي المختص","صالح للنشر")))))</f>
        <v/>
      </c>
      <c r="T33" s="11" t="inlineStr">
        <is>
          <t>نعم</t>
        </is>
      </c>
      <c r="U33" s="11" t="inlineStr">
        <is>
          <t>كم عدد سور القرآن؟ | لماذا تتنقل السورة بين موضوعات مختلفة؟</t>
        </is>
      </c>
      <c r="V33" s="11" t="n"/>
      <c r="W33" s="11" t="inlineStr">
        <is>
          <t>الراجح عند كثير من أهل العلم أن ترتيب سور القرآن توقيفي، مع وجود خلاف في المسألة.</t>
        </is>
      </c>
    </row>
    <row r="34" ht="150" customHeight="1">
      <c r="A34" s="10" t="inlineStr">
        <is>
          <t>ق-19</t>
        </is>
      </c>
      <c r="B34" s="10" t="inlineStr">
        <is>
          <t>ح6</t>
        </is>
      </c>
      <c r="C34" s="11" t="inlineStr">
        <is>
          <t>أساسي</t>
        </is>
      </c>
      <c r="D34" s="11" t="inlineStr">
        <is>
          <t>م-03</t>
        </is>
      </c>
      <c r="E34" s="11" t="inlineStr">
        <is>
          <t>مباحث في علوم القرآن، مناع القطان — الفصل 23: التفسير والتأويل — مدخل الفصل، ومعنى التفسير، وشرف التفسير (ص 334، 339 حسب فهرس الكتاب) — https://quranpedia.net/book/23563</t>
        </is>
      </c>
      <c r="F34" s="11" t="inlineStr">
        <is>
          <t>معنى التفسير والحاجة إليه</t>
        </is>
      </c>
      <c r="G34" s="11" t="n"/>
      <c r="H34" s="11" t="inlineStr">
        <is>
          <t>ما التفسير؟ | كيف أفهم القرآن؟ | ما معنى تفسير القرآن؟</t>
        </is>
      </c>
      <c r="I34" s="11" t="inlineStr">
        <is>
          <t>—</t>
        </is>
      </c>
      <c r="J34" s="11" t="inlineStr">
        <is>
          <t>ولا يستوي الناس جميعًا في فهم ألفاظه وعباراته مع وضوح بيانه وتفصيل آياته، فإن تفاوت الإدراك بينهم أمر لا مراء فيه فالعامي يدرك من المعاني ظاهرها ومن الآيات مجملها، والذكي المتعلم يستخرج منها المعنى الرائع. وبين هذا وذاك مراتب فهم شتى، فلا غرو أن يجد القرآن من أبناء أمته اهتمامًا بالغًا في الدراسة لتفسير غريب، أو تأويل تركيب.
[…]
وقال الزركشي: التفسير: علم يُفهم به كتاب الله المنزل على نبيه محمد, صلى الله عليه وسلم: وبيان معانيه، واستخراج أحكامه وحكمه.
[…]
والتفسير من أجلِّ علوم الشريعة وأرفعها قدرًا، وهو أشرف العلوم موضوعًا وغرضًا وحاجة إليه لأن موضوعه كلام الله تعالى الذي هو ينبوع كل حكمة.</t>
        </is>
      </c>
      <c r="K34" s="11" t="inlineStr">
        <is>
          <t>إذا قرأت ولم تفهم: الناس يتفاوتون في الفهم، والتفسير هو العلم الذي يُفهم به القرآن وتُبيَّن معانيه.</t>
        </is>
      </c>
      <c r="L34" s="11" t="inlineStr">
        <is>
          <t>أقرأ القرآن وما أفهم، شو أسوي؟ | ما هو التفسير؟ | كيف أفهم الكلمات الصعبة في القرآن؟ | هل أحتاج تفسير لأفهم القرآن؟</t>
        </is>
      </c>
      <c r="M34" s="11" t="inlineStr">
        <is>
          <t>أ</t>
        </is>
      </c>
      <c r="N34" s="11" t="inlineStr">
        <is>
          <t>لا</t>
        </is>
      </c>
      <c r="O34" s="11" t="inlineStr">
        <is>
          <t>—</t>
        </is>
      </c>
      <c r="P34" s="11" t="inlineStr">
        <is>
          <t>محمد — 5 أكتوبر 2026</t>
        </is>
      </c>
      <c r="Q34" s="11" t="n"/>
      <c r="R34" s="11" t="inlineStr">
        <is>
          <t>اعتُمد دون ملاحظات.</t>
        </is>
      </c>
      <c r="S34" s="12">
        <f>IF(A34="","",IF(OR(M34="ج",M34="د"),"المستوى لا يُنشر",IF(IFERROR(INDEX(المصادر!$F$2:$F$30,MATCH(D34,المصادر!$A$2:$A$30,0)),"")&lt;&gt;"نعم","المصدر غير معتمد",IF(OR(B34="",E34="",J34="",K34="",P34=""),"بيانات ناقصة",IF(AND(N34="نعم",Q34&lt;&gt;"موافق"),"ينقصه رأي المختص","صالح للنشر")))))</f>
        <v/>
      </c>
      <c r="T34" s="11" t="n"/>
      <c r="U34" s="11" t="inlineStr">
        <is>
          <t>ما تفسير آية الكرسي؟ | ما أفضل تفسير للمبتدئ؟</t>
        </is>
      </c>
      <c r="V34" s="11" t="n"/>
      <c r="W34" s="11" t="n"/>
    </row>
    <row r="35" ht="150" customHeight="1">
      <c r="A35" s="10" t="inlineStr">
        <is>
          <t>ق-20</t>
        </is>
      </c>
      <c r="B35" s="10" t="inlineStr">
        <is>
          <t>ح6</t>
        </is>
      </c>
      <c r="C35" s="11" t="inlineStr">
        <is>
          <t>أساسي</t>
        </is>
      </c>
      <c r="D35" s="11" t="inlineStr">
        <is>
          <t>م-03</t>
        </is>
      </c>
      <c r="E35" s="11" t="inlineStr">
        <is>
          <t>مباحث في علوم القرآن، مناع القطان — الفصل 22: ترجمة القرآن — معنى الترجمة، وحكم الترجمة الحرفية، والترجمة التفسيرية (ص 324–327 حسب فهرس الكتاب) — https://quranpedia.net/book/23563 | جملة الحرمة من نسخة إسلام ويب: https://www.islamweb.net/ar/library/content/246/126/</t>
        </is>
      </c>
      <c r="F35" s="11" t="inlineStr">
        <is>
          <t>ترجمة القرآن: هل الترجمة قرآن؟</t>
        </is>
      </c>
      <c r="G35" s="11" t="n"/>
      <c r="H35" s="11" t="inlineStr">
        <is>
          <t>هل ترجمة القرآن تعتبر قرآناً؟ | ما الفرق بين القرآن وترجمته؟ | هل يجوز ترجمة القرآن؟</t>
        </is>
      </c>
      <c r="I35" s="11" t="inlineStr">
        <is>
          <t>—</t>
        </is>
      </c>
      <c r="J35" s="11" t="inlineStr">
        <is>
          <t>والترجمة تطلق على معنيين:
أولهما: الترجمة الحرفية: وهي نقل ألفاظ من لغة إلى نظائرها من اللغة الأخرى بحيث يكون النظم موافقًا للنظم، والترتيب موافقًا للترتيب.
ثانيهما: الترجمة التفسيرية أو المعنوية: وهي بيان معنى الكلام بلغة أخرى من غير تقييد بترتيب كلمات الأصل أو مراعاة لنظمه.
[…]
ولهذا لا يجد المرء أدنى شبهة في حرمة ترجمة القرآن ترجمة حرفية. فالقرآن كلام الله المنزل على رسوله المعجز بألفاظه ومعانيه المتعبد بتلاوته، ولا يقول أحد من الناس إن الكلمة من القرآن إذا ترجمت يقال فيها إنها كلام الله، فإن الله لم يتكلم إلا بما تتلوه بالعربية، ولن يتأتى الإعجاز بالترجمة؛ لأن الإعجاز خاص بما أنزل باللغة العربية - والذي يتعبد بتلاوته هو ذلك القرآن العربي المبين بألفاظه وحروفه وترتيب كلماته.
فترجمة القرآن الحرفية على هذا مهما كان المترجم على دراية باللغات وأساليبها وتراكيبها تخرج القرآن عن أن يكون قرآنا.
[…]
ويحق لنا أن نقول: إن علماء الإسلام إذا قاموا بتفسير للقرآن، يتوخى فيه أداء المعنى القريب الميسور الراجح، ثم يترجم هذا التفسير بأمانة وبراعة، فإن هذا يقال فيه: "ترجمة تفسير القرآن" أو "ترجمة تفسيرية" بمعنى شرح الكلام وبيان معناه بلغة أخرى. ولا بأس بذلك. […]
فالمفسِّر يقول في تفسير الآية: يعني كذا، ويذكر فهمه الخاص. والمترجم يقول: معنى هذا الكلام هو عين معنى الآية […]</t>
        </is>
      </c>
      <c r="K35" s="11" t="inlineStr">
        <is>
          <t>الترجمة ليست قرآناً، وترجمته الحرفية محرّمة؛ القرآن هو النص العربي، وما يُترجم هو تفسير لمعانيه بلغة أخرى.</t>
        </is>
      </c>
      <c r="L35" s="11" t="inlineStr">
        <is>
          <t>هل الترجمة تعتبر قرآناً؟ | أقدر أقرأ القرآن بالإنجليزي؟ | ما الفرق بين القرآن وترجمة معانيه؟ | ليش يقولون ترجمة معاني القرآن؟</t>
        </is>
      </c>
      <c r="M35" s="11" t="inlineStr">
        <is>
          <t>أ</t>
        </is>
      </c>
      <c r="N35" s="11" t="inlineStr">
        <is>
          <t>لا</t>
        </is>
      </c>
      <c r="O35" s="11" t="inlineStr">
        <is>
          <t>—</t>
        </is>
      </c>
      <c r="P35" s="11" t="inlineStr">
        <is>
          <t>محمد — 5 أكتوبر 2026</t>
        </is>
      </c>
      <c r="Q35" s="11" t="n"/>
      <c r="R35" s="11" t="inlineStr">
        <is>
          <t>نُفّذ: نُقلت جملة حرمة الترجمة الحرفية وتعليلها.</t>
        </is>
      </c>
      <c r="S35" s="12">
        <f>IF(A35="","",IF(OR(M35="ج",M35="د"),"المستوى لا يُنشر",IF(IFERROR(INDEX(المصادر!$F$2:$F$30,MATCH(D35,المصادر!$A$2:$A$30,0)),"")&lt;&gt;"نعم","المصدر غير معتمد",IF(OR(B35="",E35="",J35="",K35="",P35=""),"بيانات ناقصة",IF(AND(N35="نعم",Q35&lt;&gt;"موافق"),"ينقصه رأي المختص","صالح للنشر")))))</f>
        <v/>
      </c>
      <c r="T35" s="11" t="n"/>
      <c r="U35" s="11" t="inlineStr">
        <is>
          <t>هل تجوز الصلاة بترجمة القرآن؟ | ما أفضل ترجمة للقرآن؟</t>
        </is>
      </c>
      <c r="V35" s="11" t="n"/>
      <c r="W35" s="11" t="n"/>
    </row>
  </sheetData>
  <autoFilter ref="A1:W35"/>
  <conditionalFormatting sqref="S2:S200">
    <cfRule type="expression" priority="1" dxfId="1">
      <formula>$S2="صالح للنشر"</formula>
    </cfRule>
    <cfRule type="expression" priority="3" dxfId="5">
      <formula>$S2="صالح للنشر"</formula>
    </cfRule>
    <cfRule type="expression" priority="5" dxfId="5">
      <formula>$S2="صالح للنشر"</formula>
    </cfRule>
  </conditionalFormatting>
  <conditionalFormatting sqref="N2:N200">
    <cfRule type="expression" priority="2" dxfId="0">
      <formula>$N2="نعم"</formula>
    </cfRule>
    <cfRule type="expression" priority="4" dxfId="4">
      <formula>$N2="نعم"</formula>
    </cfRule>
    <cfRule type="expression" priority="6" dxfId="4">
      <formula>$N2="نعم"</formula>
    </cfRule>
  </conditionalFormatting>
  <dataValidations count="1">
    <dataValidation sqref="T2:T300" showDropDown="0" showInputMessage="0" showErrorMessage="0" allowBlank="1" type="list">
      <formula1>"نعم,لا"</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35"/>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4.5"/>
  <cols>
    <col width="8" customWidth="1" min="1" max="1"/>
    <col width="28" customWidth="1" min="2" max="2"/>
    <col width="80" customWidth="1" min="3" max="3"/>
    <col width="12" customWidth="1" min="4" max="4"/>
    <col width="18" customWidth="1" min="5" max="5"/>
    <col width="36" customWidth="1" min="6" max="6"/>
  </cols>
  <sheetData>
    <row r="1" ht="34" customHeight="1">
      <c r="A1" s="4" t="inlineStr">
        <is>
          <t>الرمز</t>
        </is>
      </c>
      <c r="B1" s="4" t="inlineStr">
        <is>
          <t>متى يُستخدم</t>
        </is>
      </c>
      <c r="C1" s="4" t="inlineStr">
        <is>
          <t>النص الذي يراه المستخدم</t>
        </is>
      </c>
      <c r="D1" s="4" t="inlineStr">
        <is>
          <t>مراجعة شرعية؟</t>
        </is>
      </c>
      <c r="E1" s="4" t="inlineStr">
        <is>
          <t>اعتمده (المراجع والتاريخ)</t>
        </is>
      </c>
      <c r="F1" s="4" t="inlineStr">
        <is>
          <t>ملاحظات الاعتماد</t>
        </is>
      </c>
    </row>
    <row r="2" ht="34" customHeight="1">
      <c r="A2" s="10" t="inlineStr">
        <is>
          <t>و-01</t>
        </is>
      </c>
      <c r="B2" s="10" t="inlineStr">
        <is>
          <t>أعلى كل صفحة</t>
        </is>
      </c>
      <c r="C2" s="11" t="inlineStr">
        <is>
          <t>«دليل» أداة تستعين بالذكاء الاصطناعي لتختار لك مقطعاً من مصادر إسلامية معتمدة راجعها مختص. لا تكتب إجابات من عندها، وقد تخطئ في الاختيار.</t>
        </is>
      </c>
      <c r="D2" s="11" t="inlineStr">
        <is>
          <t>نعم</t>
        </is>
      </c>
      <c r="E2" s="11" t="inlineStr">
        <is>
          <t>محمد — 5 أكتوبر 2026</t>
        </is>
      </c>
      <c r="F2" s="11" t="inlineStr">
        <is>
          <t>اعتُمد دون ملاحظات.</t>
        </is>
      </c>
    </row>
    <row r="3" ht="34" customHeight="1">
      <c r="A3" s="10" t="inlineStr">
        <is>
          <t>و-02</t>
        </is>
      </c>
      <c r="B3" s="10" t="inlineStr">
        <is>
          <t>بعد كل جزء معروض</t>
        </is>
      </c>
      <c r="C3" s="11" t="inlineStr">
        <is>
          <t>هل أجاب هذا عن سؤالك؟  [نعم] [جزئياً] [لا]</t>
        </is>
      </c>
      <c r="D3" s="11" t="inlineStr">
        <is>
          <t>لا</t>
        </is>
      </c>
      <c r="E3" s="11" t="inlineStr">
        <is>
          <t>محمد — 5 أكتوبر 2026</t>
        </is>
      </c>
      <c r="F3" s="11" t="inlineStr">
        <is>
          <t>اعتُمد دون ملاحظات.</t>
        </is>
      </c>
    </row>
    <row r="4" ht="34" customHeight="1">
      <c r="A4" s="10" t="inlineStr">
        <is>
          <t>و-03</t>
        </is>
      </c>
      <c r="B4" s="10" t="inlineStr">
        <is>
          <t>بعد «جزئياً»</t>
        </is>
      </c>
      <c r="C4" s="11" t="inlineStr">
        <is>
          <t>ما الذي بقي دون إجابة؟ اكتبه بكلماتك.</t>
        </is>
      </c>
      <c r="D4" s="11" t="inlineStr">
        <is>
          <t>لا</t>
        </is>
      </c>
      <c r="E4" s="11" t="inlineStr">
        <is>
          <t>محمد — 5 أكتوبر 2026</t>
        </is>
      </c>
      <c r="F4" s="11" t="inlineStr">
        <is>
          <t>اعتُمد دون ملاحظات.</t>
        </is>
      </c>
    </row>
    <row r="5" ht="34" customHeight="1">
      <c r="A5" s="10" t="inlineStr">
        <is>
          <t>و-04</t>
        </is>
      </c>
      <c r="B5" s="10" t="inlineStr">
        <is>
          <t>فوق كل مقطع (يُملأ من السجل)</t>
        </is>
      </c>
      <c r="C5" s="11" t="inlineStr">
        <is>
          <t>يجيب هذا المقطع عن: {يجيب_عن}</t>
        </is>
      </c>
      <c r="D5" s="11" t="inlineStr">
        <is>
          <t>لا</t>
        </is>
      </c>
      <c r="E5" s="11" t="inlineStr">
        <is>
          <t>محمد — 5 أكتوبر 2026</t>
        </is>
      </c>
      <c r="F5" s="11" t="inlineStr">
        <is>
          <t>اعتُمد دون ملاحظات.</t>
        </is>
      </c>
    </row>
    <row r="6" ht="34" customHeight="1">
      <c r="A6" s="10" t="inlineStr">
        <is>
          <t>و-05</t>
        </is>
      </c>
      <c r="B6" s="10" t="inlineStr">
        <is>
          <t>تحت وصف «يجيب عن»</t>
        </is>
      </c>
      <c r="C6" s="11" t="inlineStr">
        <is>
          <t>وصف مساعد كُتب بمساعدة الذكاء الاصطناعي وراجعه صاحب المشروع. النص المعتمد هو المقتبس.</t>
        </is>
      </c>
      <c r="D6" s="11" t="inlineStr">
        <is>
          <t>لا</t>
        </is>
      </c>
      <c r="E6" s="11" t="inlineStr">
        <is>
          <t>محمد — 5 أكتوبر 2026</t>
        </is>
      </c>
      <c r="F6" s="11" t="inlineStr">
        <is>
          <t>اعتُمد دون ملاحظات.</t>
        </is>
      </c>
    </row>
    <row r="7" ht="34" customHeight="1">
      <c r="A7" s="10" t="inlineStr">
        <is>
          <t>ست-01</t>
        </is>
      </c>
      <c r="B7" s="10" t="inlineStr">
        <is>
          <t>التباس بين ح1 وح7</t>
        </is>
      </c>
      <c r="C7" s="11" t="inlineStr">
        <is>
          <t>هل تريد تعريفاً بالقرآن ومكانته، أم الأسباب التي تجعل المسلمين يؤمنون أنه من عند الله؟</t>
        </is>
      </c>
      <c r="D7" s="11" t="inlineStr">
        <is>
          <t>نعم</t>
        </is>
      </c>
      <c r="E7" s="11" t="inlineStr">
        <is>
          <t>محمد — 5 أكتوبر 2026</t>
        </is>
      </c>
      <c r="F7" s="11" t="inlineStr">
        <is>
          <t>اعتُمد دون ملاحظات.</t>
        </is>
      </c>
    </row>
    <row r="8" ht="34" customHeight="1">
      <c r="A8" s="10" t="inlineStr">
        <is>
          <t>ست-02</t>
        </is>
      </c>
      <c r="B8" s="10" t="inlineStr">
        <is>
          <t>التباس بين ح2 وح7</t>
        </is>
      </c>
      <c r="C8" s="11" t="inlineStr">
        <is>
          <t>هل تقصد كيف كان الوحي يأتي النبي ﷺ، أم لماذا يؤمن المسلمون أن القرآن من عند الله؟</t>
        </is>
      </c>
      <c r="D8" s="11" t="inlineStr">
        <is>
          <t>نعم</t>
        </is>
      </c>
      <c r="E8" s="11" t="inlineStr">
        <is>
          <t>محمد — 5 أكتوبر 2026</t>
        </is>
      </c>
      <c r="F8" s="11" t="inlineStr">
        <is>
          <t>اعتُمد دون ملاحظات.</t>
        </is>
      </c>
    </row>
    <row r="9" ht="34" customHeight="1">
      <c r="A9" s="10" t="inlineStr">
        <is>
          <t>ست-03</t>
        </is>
      </c>
      <c r="B9" s="10" t="inlineStr">
        <is>
          <t>سؤال عن «نسخ مختلفة» أو تغيّر القرآن</t>
        </is>
      </c>
      <c r="C9" s="11" t="inlineStr">
        <is>
          <t>هل تسأل: هل القرآن الذي بين أيدينا هو نفسه الذي نزل على النبي ﷺ؟</t>
        </is>
      </c>
      <c r="D9" s="11" t="inlineStr">
        <is>
          <t>نعم</t>
        </is>
      </c>
      <c r="E9" s="11" t="inlineStr">
        <is>
          <t>محمد — 5 أكتوبر 2026</t>
        </is>
      </c>
      <c r="F9" s="11" t="inlineStr">
        <is>
          <t>اعتُمد دون ملاحظات.</t>
        </is>
      </c>
    </row>
    <row r="10" ht="34" customHeight="1">
      <c r="A10" s="10" t="inlineStr">
        <is>
          <t>ست-04</t>
        </is>
      </c>
      <c r="B10" s="10" t="inlineStr">
        <is>
          <t>سؤال واسع</t>
        </is>
      </c>
      <c r="C10" s="11" t="inlineStr">
        <is>
          <t>يمكننا أن نبدأ من أكثر من جهة، فبأيّها تبدأ؟</t>
        </is>
      </c>
      <c r="D10" s="11" t="inlineStr">
        <is>
          <t>لا</t>
        </is>
      </c>
      <c r="E10" s="11" t="inlineStr">
        <is>
          <t>محمد — 5 أكتوبر 2026</t>
        </is>
      </c>
      <c r="F10" s="11" t="inlineStr">
        <is>
          <t>اعتُمد دون ملاحظات.</t>
        </is>
      </c>
    </row>
    <row r="11" ht="34" customHeight="1">
      <c r="A11" s="10" t="inlineStr">
        <is>
          <t>ام-01</t>
        </is>
      </c>
      <c r="B11" s="10" t="inlineStr">
        <is>
          <t>سؤال خارج القرآن</t>
        </is>
      </c>
      <c r="C11" s="11" t="inlineStr">
        <is>
          <t>يختص «دليل» حالياً بالتعرّف إلى القرآن الكريم، وسؤالك عن موضوع آخر. يمكنك الرجوع إلى الموسوعات العلمية في موقع الدرر السنية (dorar.net).</t>
        </is>
      </c>
      <c r="D11" s="11" t="inlineStr">
        <is>
          <t>نعم</t>
        </is>
      </c>
      <c r="E11" s="11" t="inlineStr">
        <is>
          <t>محمد — 5 أكتوبر 2026</t>
        </is>
      </c>
      <c r="F11" s="11" t="inlineStr">
        <is>
          <t>اعتُمد دون ملاحظات.</t>
        </is>
      </c>
    </row>
    <row r="12" ht="34" customHeight="1">
      <c r="A12" s="10" t="inlineStr">
        <is>
          <t>ام-02</t>
        </is>
      </c>
      <c r="B12" s="10" t="inlineStr">
        <is>
          <t>فتوى أو حالة شخصية (المستوى د)</t>
        </is>
      </c>
      <c r="C12" s="11" t="inlineStr">
        <is>
          <t>سؤالك يحتاج إلى جواب يراعي حالتك بعينها، وهذا خارج ما يقدمه «دليل». ننصحك بسؤال عالم أو جهة إفتاء موثوقة في بلدك.</t>
        </is>
      </c>
      <c r="D12" s="11" t="inlineStr">
        <is>
          <t>نعم</t>
        </is>
      </c>
      <c r="E12" s="11" t="inlineStr">
        <is>
          <t>محمد — 5 أكتوبر 2026</t>
        </is>
      </c>
      <c r="F12" s="11" t="inlineStr">
        <is>
          <t>اعتُمد دون ملاحظات.</t>
        </is>
      </c>
    </row>
    <row r="13" ht="34" customHeight="1">
      <c r="A13" s="10" t="inlineStr">
        <is>
          <t>ام-03</t>
        </is>
      </c>
      <c r="B13" s="10" t="inlineStr">
        <is>
          <t>القراءات وأوجه الأداء (قرار نطاق)</t>
        </is>
      </c>
      <c r="C13" s="11" t="inlineStr">
        <is>
          <t>تفاصيل القراءات علم متخصص لا يغطيه «دليل» في نسخته الحالية، ويُرجع فيه إلى أهل الاختصاص.</t>
        </is>
      </c>
      <c r="D13" s="11" t="inlineStr">
        <is>
          <t>نعم</t>
        </is>
      </c>
      <c r="E13" s="11" t="inlineStr">
        <is>
          <t>محمد — 5 أكتوبر 2026</t>
        </is>
      </c>
      <c r="F13" s="11" t="inlineStr">
        <is>
          <t>اعتُمد دون ملاحظات.</t>
        </is>
      </c>
    </row>
    <row r="14" ht="34" customHeight="1">
      <c r="A14" s="10" t="inlineStr">
        <is>
          <t>ام-04</t>
        </is>
      </c>
      <c r="B14" s="10" t="inlineStr">
        <is>
          <t>«الإعجاز العلمي» (قرار نطاق)</t>
        </is>
      </c>
      <c r="C14" s="11" t="inlineStr">
        <is>
          <t>هذا الموضوع خارج ما تغطيه هذه النسخة من «دليل».</t>
        </is>
      </c>
      <c r="D14" s="11" t="inlineStr">
        <is>
          <t>نعم</t>
        </is>
      </c>
      <c r="E14" s="11" t="inlineStr">
        <is>
          <t>محمد — 5 أكتوبر 2026</t>
        </is>
      </c>
      <c r="F14" s="11" t="inlineStr">
        <is>
          <t>اعتُمد دون ملاحظات.</t>
        </is>
      </c>
    </row>
    <row r="15" ht="34" customHeight="1">
      <c r="A15" s="10" t="inlineStr">
        <is>
          <t>ام-05</t>
        </is>
      </c>
      <c r="B15" s="10" t="inlineStr">
        <is>
          <t>طلب حديث أو نص غير موجود في المواد</t>
        </is>
      </c>
      <c r="C15" s="11" t="inlineStr">
        <is>
          <t>لم نجد في مواد «دليل» المراجعة ما يطابق طلبك، ولا نعرض نصاً لم نتحقق منه. يمكنك البحث في الموسوعة الحديثية بموقع الدرر السنية، مع حكم كل حديث.</t>
        </is>
      </c>
      <c r="D15" s="11" t="inlineStr">
        <is>
          <t>نعم</t>
        </is>
      </c>
      <c r="E15" s="11" t="inlineStr">
        <is>
          <t>محمد — 5 أكتوبر 2026</t>
        </is>
      </c>
      <c r="F15" s="11" t="inlineStr">
        <is>
          <t>اعتُمد دون ملاحظات.</t>
        </is>
      </c>
    </row>
    <row r="16" ht="34" customHeight="1">
      <c r="A16" s="10" t="inlineStr">
        <is>
          <t>ام-06</t>
        </is>
      </c>
      <c r="B16" s="10" t="inlineStr">
        <is>
          <t>آية لم تُعثر عليها في المصحف</t>
        </is>
      </c>
      <c r="C16" s="11" t="inlineStr">
        <is>
          <t>لم نجد آية تطابق النص الذي كتبته. يمكنك البحث عنها في مصحف موثوق مثل quranpedia.net.</t>
        </is>
      </c>
      <c r="D16" s="11" t="inlineStr">
        <is>
          <t>لا</t>
        </is>
      </c>
      <c r="E16" s="11" t="inlineStr">
        <is>
          <t>محمد — 5 أكتوبر 2026</t>
        </is>
      </c>
      <c r="F16" s="11" t="inlineStr">
        <is>
          <t>اعتُمد دون ملاحظات.</t>
        </is>
      </c>
    </row>
    <row r="17" ht="34" customHeight="1">
      <c r="A17" s="10" t="inlineStr">
        <is>
          <t>ام-07</t>
        </is>
      </c>
      <c r="B17" s="10" t="inlineStr">
        <is>
          <t>الحاجة داخل النطاق ولا جزء مناسب</t>
        </is>
      </c>
      <c r="C17" s="11" t="inlineStr">
        <is>
          <t>لم نجد في مواد «دليل» المراجعة جزءاً يجيب عن هذا بدقة. نفضّل أن نخبرك بذلك على أن نعرض عليك ما لا يجيب. اختر من الأسئلة المتاحة أدناه.</t>
        </is>
      </c>
      <c r="D17" s="11" t="inlineStr">
        <is>
          <t>لا</t>
        </is>
      </c>
      <c r="E17" s="11" t="inlineStr">
        <is>
          <t>محمد — 5 أكتوبر 2026</t>
        </is>
      </c>
      <c r="F17" s="11" t="inlineStr">
        <is>
          <t>اعتُمد دون ملاحظات.</t>
        </is>
      </c>
    </row>
    <row r="18" ht="34" customHeight="1">
      <c r="A18" s="10" t="inlineStr">
        <is>
          <t>ام-08</t>
        </is>
      </c>
      <c r="B18" s="10" t="inlineStr">
        <is>
          <t>سؤال بغير العربية</t>
        </is>
      </c>
      <c r="C18" s="11" t="inlineStr">
        <is>
          <t>يعمل «دليل» حالياً باللغة العربية فقط. — Daleel currently works in Arabic only.</t>
        </is>
      </c>
      <c r="D18" s="11" t="inlineStr">
        <is>
          <t>لا</t>
        </is>
      </c>
      <c r="E18" s="11" t="inlineStr">
        <is>
          <t>محمد — 5 أكتوبر 2026</t>
        </is>
      </c>
      <c r="F18" s="11" t="inlineStr">
        <is>
          <t>اعتُمد دون ملاحظات.</t>
        </is>
      </c>
    </row>
    <row r="19" ht="34" customHeight="1">
      <c r="A19" s="10" t="inlineStr">
        <is>
          <t>ام-09</t>
        </is>
      </c>
      <c r="B19" s="10" t="inlineStr">
        <is>
          <t>تفسير آية بعينها (قرار نطاق)</t>
        </is>
      </c>
      <c r="C19" s="11" t="inlineStr">
        <is>
          <t>تفسير آيات بعينها خارج ما يغطيه «دليل» حالياً. يمكنك الرجوع إلى موسوعة التفسير بموقع الدرر السنية.</t>
        </is>
      </c>
      <c r="D19" s="11" t="inlineStr">
        <is>
          <t>نعم</t>
        </is>
      </c>
      <c r="E19" s="11" t="inlineStr">
        <is>
          <t>محمد — 5 أكتوبر 2026</t>
        </is>
      </c>
      <c r="F19" s="11" t="inlineStr">
        <is>
          <t>اعتُمد دون ملاحظات.</t>
        </is>
      </c>
    </row>
    <row r="20" ht="34" customHeight="1">
      <c r="A20" s="10" t="inlineStr">
        <is>
          <t>ام-10</t>
        </is>
      </c>
      <c r="B20" s="10" t="inlineStr">
        <is>
          <t>تعطل خدمة الفهم</t>
        </is>
      </c>
      <c r="C20" s="11" t="inlineStr">
        <is>
          <t>خدمة فهم الأسئلة متوقفة مؤقتاً. اختر سؤالك من القائمة.</t>
        </is>
      </c>
      <c r="D20" s="11" t="inlineStr">
        <is>
          <t>لا</t>
        </is>
      </c>
      <c r="E20" s="11" t="inlineStr">
        <is>
          <t>محمد — 5 أكتوبر 2026</t>
        </is>
      </c>
      <c r="F20" s="11" t="inlineStr">
        <is>
          <t>اعتُمد دون ملاحظات.</t>
        </is>
      </c>
    </row>
    <row r="21" ht="34" customHeight="1">
      <c r="A21" s="10" t="inlineStr">
        <is>
          <t>و-06</t>
        </is>
      </c>
      <c r="B21" s="10" t="inlineStr">
        <is>
          <t>فوق نص المقطع (يُملأ من السجل)</t>
        </is>
      </c>
      <c r="C21" s="11" t="inlineStr">
        <is>
          <t>من جواب «{المصدر}» عن سؤال: {عنوان_المسألة}</t>
        </is>
      </c>
      <c r="D21" s="11" t="inlineStr">
        <is>
          <t>لا</t>
        </is>
      </c>
      <c r="E21" s="11" t="inlineStr">
        <is>
          <t>محمد — 5 أكتوبر 2026</t>
        </is>
      </c>
      <c r="F21" s="11" t="inlineStr">
        <is>
          <t>اعتُمد دون ملاحظات.</t>
        </is>
      </c>
    </row>
    <row r="22" ht="34" customHeight="1">
      <c r="A22" s="10" t="inlineStr">
        <is>
          <t>و-07</t>
        </is>
      </c>
      <c r="B22" s="10" t="inlineStr">
        <is>
          <t>شاشة البداية</t>
        </is>
      </c>
      <c r="C22" s="11" t="inlineStr">
        <is>
          <t>اكتب سؤالك عن القرآن بكلماتك، مثل: كيف حُفظ القرآن؟ أو اختر من الأسئلة أدناه.</t>
        </is>
      </c>
      <c r="D22" s="11" t="inlineStr">
        <is>
          <t>لا</t>
        </is>
      </c>
      <c r="E22" s="11" t="inlineStr">
        <is>
          <t>محمد — 5 أكتوبر 2026</t>
        </is>
      </c>
      <c r="F22" s="11" t="inlineStr">
        <is>
          <t>اعتُمد دون ملاحظات.</t>
        </is>
      </c>
    </row>
    <row r="23" ht="34" customHeight="1">
      <c r="A23" s="10" t="inlineStr">
        <is>
          <t>و-08</t>
        </is>
      </c>
      <c r="B23" s="10" t="inlineStr">
        <is>
          <t>سطر الخصوصية</t>
        </is>
      </c>
      <c r="C23" s="11" t="inlineStr">
        <is>
          <t>لا تكتب اسمك أو أي معلومات شخصية. لا نحفظ نص سؤالك، ونرسله إلى مزوّد النموذج اللغوي لفهمه فقط.</t>
        </is>
      </c>
      <c r="D23" s="11" t="inlineStr">
        <is>
          <t>لا</t>
        </is>
      </c>
      <c r="E23" s="11" t="inlineStr">
        <is>
          <t>محمد — 5 أكتوبر 2026</t>
        </is>
      </c>
      <c r="F23" s="11" t="inlineStr">
        <is>
          <t>اعتُمد دون ملاحظات.</t>
        </is>
      </c>
    </row>
    <row r="24" ht="34" customHeight="1">
      <c r="A24" s="10" t="inlineStr">
        <is>
          <t>و-09</t>
        </is>
      </c>
      <c r="B24" s="10" t="inlineStr">
        <is>
          <t>بعد «لا»</t>
        </is>
      </c>
      <c r="C24" s="11" t="inlineStr">
        <is>
          <t>شكراً لإخبارنا. يمكنك إعادة صياغة سؤالك، أو اختيار سؤال من القائمة.</t>
        </is>
      </c>
      <c r="D24" s="11" t="inlineStr">
        <is>
          <t>لا</t>
        </is>
      </c>
      <c r="E24" s="11" t="inlineStr">
        <is>
          <t>محمد — 5 أكتوبر 2026</t>
        </is>
      </c>
      <c r="F24" s="11" t="inlineStr">
        <is>
          <t>اعتُمد دون ملاحظات.</t>
        </is>
      </c>
    </row>
    <row r="25" ht="34" customHeight="1">
      <c r="A25" s="10" t="inlineStr">
        <is>
          <t>و-10</t>
        </is>
      </c>
      <c r="B25" s="10" t="inlineStr">
        <is>
          <t>بعد «نعم»</t>
        </is>
      </c>
      <c r="C25" s="11" t="inlineStr">
        <is>
          <t>قد يهمك بعدها:</t>
        </is>
      </c>
      <c r="D25" s="11" t="inlineStr">
        <is>
          <t>لا</t>
        </is>
      </c>
      <c r="E25" s="11" t="inlineStr">
        <is>
          <t>محمد — 5 أكتوبر 2026</t>
        </is>
      </c>
      <c r="F25" s="11" t="inlineStr">
        <is>
          <t>اعتُمد دون ملاحظات.</t>
        </is>
      </c>
    </row>
    <row r="26" ht="34" customHeight="1">
      <c r="A26" s="10" t="inlineStr">
        <is>
          <t>و-11</t>
        </is>
      </c>
      <c r="B26" s="10" t="inlineStr">
        <is>
          <t>إدخال فارغ أو غير مفهوم</t>
        </is>
      </c>
      <c r="C26" s="11" t="inlineStr">
        <is>
          <t>لم نتمكن من قراءة سؤالك. اكتب سؤالاً قصيراً عن القرآن، أو اختر من القائمة.</t>
        </is>
      </c>
      <c r="D26" s="11" t="inlineStr">
        <is>
          <t>لا</t>
        </is>
      </c>
      <c r="E26" s="11" t="inlineStr">
        <is>
          <t>محمد — 5 أكتوبر 2026</t>
        </is>
      </c>
      <c r="F26" s="11" t="inlineStr">
        <is>
          <t>اعتُمد دون ملاحظات.</t>
        </is>
      </c>
    </row>
    <row r="27" ht="34" customHeight="1">
      <c r="A27" s="10" t="inlineStr">
        <is>
          <t>و-12</t>
        </is>
      </c>
      <c r="B27" s="10" t="inlineStr">
        <is>
          <t>ما بقي غير مغطى</t>
        </is>
      </c>
      <c r="C27" s="11" t="inlineStr">
        <is>
          <t>لم نجد في مواد «دليل» جزءاً آخر يجيب عمّا بقي من سؤالك. نفضّل أن نخبرك بذلك على أن نعرض ما لا يجيب.</t>
        </is>
      </c>
      <c r="D27" s="11" t="inlineStr">
        <is>
          <t>لا</t>
        </is>
      </c>
      <c r="E27" s="11" t="inlineStr">
        <is>
          <t>محمد — 5 أكتوبر 2026</t>
        </is>
      </c>
      <c r="F27" s="11" t="inlineStr">
        <is>
          <t>اعتُمد دون ملاحظات.</t>
        </is>
      </c>
    </row>
    <row r="28" ht="34" customHeight="1">
      <c r="A28" s="10" t="inlineStr">
        <is>
          <t>و-13</t>
        </is>
      </c>
      <c r="B28" s="10" t="inlineStr">
        <is>
          <t>آية مطابقة للمصحف</t>
        </is>
      </c>
      <c r="C28" s="11" t="inlineStr">
        <is>
          <t>هذا نص الآية كما في المصحف:</t>
        </is>
      </c>
      <c r="D28" s="11" t="inlineStr">
        <is>
          <t>لا</t>
        </is>
      </c>
      <c r="E28" s="11" t="inlineStr">
        <is>
          <t>محمد — 5 أكتوبر 2026</t>
        </is>
      </c>
      <c r="F28" s="11" t="inlineStr">
        <is>
          <t>اعتُمد دون ملاحظات.</t>
        </is>
      </c>
    </row>
    <row r="29" ht="34" customHeight="1">
      <c r="A29" s="10" t="inlineStr">
        <is>
          <t>و-14</t>
        </is>
      </c>
      <c r="B29" s="10" t="inlineStr">
        <is>
          <t>آية مكتوبة بنص مختلف</t>
        </is>
      </c>
      <c r="C29" s="11" t="inlineStr">
        <is>
          <t>النص الذي كتبته يختلف عن نص الآية في المصحف. هذا هو نص الآية كما ورد في المصحف:</t>
        </is>
      </c>
      <c r="D29" s="11" t="inlineStr">
        <is>
          <t>نعم</t>
        </is>
      </c>
      <c r="E29" s="11" t="inlineStr">
        <is>
          <t>محمد — 5 أكتوبر 2026</t>
        </is>
      </c>
      <c r="F29" s="11" t="inlineStr">
        <is>
          <t>اعتُمد دون ملاحظات.</t>
        </is>
      </c>
    </row>
    <row r="30" ht="34" customHeight="1">
      <c r="A30" s="10" t="inlineStr">
        <is>
          <t>و-15</t>
        </is>
      </c>
      <c r="B30" s="10" t="inlineStr">
        <is>
          <t>أسفل كل مقطع</t>
        </is>
      </c>
      <c r="C30" s="11" t="inlineStr">
        <is>
          <t>لا يتجاوز «دليل» هذا النص المقتبس، ولا يضيف إليه شرحاً من عنده.</t>
        </is>
      </c>
      <c r="D30" s="11" t="inlineStr">
        <is>
          <t>لا</t>
        </is>
      </c>
      <c r="E30" s="11" t="inlineStr">
        <is>
          <t>محمد — 5 أكتوبر 2026</t>
        </is>
      </c>
      <c r="F30" s="11" t="inlineStr">
        <is>
          <t>اعتُمد دون ملاحظات.</t>
        </is>
      </c>
    </row>
    <row r="31" ht="34" customHeight="1">
      <c r="A31" s="10" t="inlineStr">
        <is>
          <t>ام-11</t>
        </is>
      </c>
      <c r="B31" s="10" t="inlineStr">
        <is>
          <t>زر تحت الامتناع عن تفسير آية بعينها، أو تحت آية كتبها المستخدم</t>
        </is>
      </c>
      <c r="C31" s="11" t="inlineStr">
        <is>
          <t>اقرأ معنى {الموضع} في «التفسير الميسر» (مجمع الملك فهد) على منصة القرآن الكريم</t>
        </is>
      </c>
      <c r="D31" s="11" t="inlineStr">
        <is>
          <t>نعم</t>
        </is>
      </c>
      <c r="E31" s="11" t="inlineStr">
        <is>
          <t>محمد — 5 أكتوبر 2026</t>
        </is>
      </c>
      <c r="F31" s="11" t="inlineStr">
        <is>
          <t>اعتُمد دون ملاحظات.</t>
        </is>
      </c>
    </row>
    <row r="32" ht="34" customHeight="1">
      <c r="A32" s="10" t="inlineStr">
        <is>
          <t>ام-12</t>
        </is>
      </c>
      <c r="B32" s="10" t="inlineStr">
        <is>
          <t>سؤال لا علاقة له بالدين (طبخ، رياضة، معلومات عامة)</t>
        </is>
      </c>
      <c r="C32" s="11" t="inlineStr">
        <is>
          <t>«دليل» مختص بالأسئلة عن القرآن الكريم، وسؤالك خارج هذا المجال. جرّب أن تسأل عن القرآن، أو اختر من الأسئلة أدناه.</t>
        </is>
      </c>
      <c r="D32" s="11" t="inlineStr">
        <is>
          <t>لا</t>
        </is>
      </c>
      <c r="E32" s="11" t="inlineStr">
        <is>
          <t>محمد — 5 أكتوبر 2026</t>
        </is>
      </c>
      <c r="F32" s="11" t="inlineStr">
        <is>
          <t>اعتُمد دون ملاحظات.</t>
        </is>
      </c>
    </row>
    <row r="33" ht="34" customHeight="1">
      <c r="A33" s="10" t="inlineStr">
        <is>
          <t>ام-13</t>
        </is>
      </c>
      <c r="B33" s="10" t="inlineStr">
        <is>
          <t>تعطّل خدمة الفهم مع عرض نتيجة بالبحث المباشر</t>
        </is>
      </c>
      <c r="C33" s="11" t="inlineStr">
        <is>
          <t>خدمة فهم الأسئلة متوقفة مؤقتاً، فعرضنا أقرب نص بالبحث المباشر، وقد يكون أقل دقة.</t>
        </is>
      </c>
      <c r="D33" s="11" t="inlineStr">
        <is>
          <t>لا</t>
        </is>
      </c>
      <c r="E33" s="11" t="inlineStr">
        <is>
          <t>محمد — 5 أكتوبر 2026</t>
        </is>
      </c>
      <c r="F33" s="11" t="inlineStr">
        <is>
          <t>اعتُمد دون ملاحظات.</t>
        </is>
      </c>
    </row>
    <row r="34" ht="34" customHeight="1">
      <c r="A34" s="10" t="inlineStr">
        <is>
          <t>ست-05</t>
        </is>
      </c>
      <c r="B34" s="10" t="inlineStr">
        <is>
          <t>سؤال «من كتب القرآن؟»: المصدر أم كتّاب الوحي</t>
        </is>
      </c>
      <c r="C34" s="11" t="inlineStr">
        <is>
          <t>هل تسأل من أين جاء القرآن ولماذا يؤمن المسلمون أنه كلام الله، أم من كان يكتبه ويحفظه في عهد النبي ﷺ؟</t>
        </is>
      </c>
      <c r="D34" s="11" t="inlineStr">
        <is>
          <t>نعم</t>
        </is>
      </c>
      <c r="E34" s="11" t="inlineStr">
        <is>
          <t>محمد — 5 أكتوبر 2026</t>
        </is>
      </c>
      <c r="F34" s="11" t="inlineStr">
        <is>
          <t>اعتُمد دون ملاحظات.</t>
        </is>
      </c>
    </row>
    <row r="35" ht="34" customHeight="1">
      <c r="A35" s="10" t="inlineStr">
        <is>
          <t>و-16</t>
        </is>
      </c>
      <c r="B35" s="10" t="inlineStr">
        <is>
          <t>تحت المقطع الذي حكم الفحص بأنه يجيب عن جزء من السؤال فقط (عنوانه «مقطع متعلق بسؤالك»)</t>
        </is>
      </c>
      <c r="C35" s="11" t="inlineStr">
        <is>
          <t>قد لا يجيب هذا النص عن سؤالك كله. إن بقي منه شيء فاختر «جزئياً» واكتب ما بقي.</t>
        </is>
      </c>
      <c r="D35" s="11" t="inlineStr">
        <is>
          <t>لا</t>
        </is>
      </c>
      <c r="E35" s="11" t="inlineStr">
        <is>
          <t>محمد — 5 أكتوبر 2026</t>
        </is>
      </c>
      <c r="F35" s="11" t="inlineStr">
        <is>
          <t>اعتُمد دون ملاحظات.</t>
        </is>
      </c>
    </row>
  </sheetData>
  <dataValidations count="1">
    <dataValidation sqref="D2:D200" showDropDown="0" showInputMessage="0" showErrorMessage="0" allowBlank="1" type="list">
      <formula1>"نعم,لا"</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4.5"/>
  <cols>
    <col width="8" customWidth="1" min="1" max="1"/>
    <col width="7" customWidth="1" min="2" max="2"/>
    <col width="9" customWidth="1" min="3" max="3"/>
    <col width="44" customWidth="1" min="4" max="5"/>
    <col width="30" customWidth="1" min="6" max="6"/>
  </cols>
  <sheetData>
    <row r="1" ht="34" customHeight="1">
      <c r="A1" s="4" t="inlineStr">
        <is>
          <t>رقم</t>
        </is>
      </c>
      <c r="B1" s="4" t="inlineStr">
        <is>
          <t>الحاجة</t>
        </is>
      </c>
      <c r="C1" s="4" t="inlineStr">
        <is>
          <t>الأولوية</t>
        </is>
      </c>
      <c r="D1" s="4" t="inlineStr">
        <is>
          <t>ما المطلوب</t>
        </is>
      </c>
      <c r="E1" s="4" t="inlineStr">
        <is>
          <t>المصدر المرشح</t>
        </is>
      </c>
      <c r="F1" s="4" t="inlineStr">
        <is>
          <t>ملاحظات</t>
        </is>
      </c>
    </row>
    <row r="2" ht="34" customHeight="1">
      <c r="A2" s="5" t="inlineStr">
        <is>
          <t>ق-18</t>
        </is>
      </c>
      <c r="B2" s="5" t="inlineStr">
        <is>
          <t>ح6</t>
        </is>
      </c>
      <c r="C2" s="6" t="inlineStr">
        <is>
          <t>إضافي</t>
        </is>
      </c>
      <c r="D2" s="6" t="inlineStr">
        <is>
          <t>من أين يبدأ المبتدئ القراءة</t>
        </is>
      </c>
      <c r="E2" s="6" t="inlineStr">
        <is>
          <t>لم يُعثر عليه في كتاب القطان؛ يُبحث في الدرر أو بينات</t>
        </is>
      </c>
      <c r="F2" s="6" t="n"/>
    </row>
    <row r="3" ht="34" customHeight="1"/>
    <row r="4" ht="34" customHeight="1"/>
    <row r="5" ht="34" customHeight="1"/>
    <row r="6" ht="34" customHeight="1"/>
    <row r="7" ht="34" customHeight="1"/>
    <row r="8" ht="34" customHeight="1"/>
    <row r="9" ht="34" customHeight="1"/>
    <row r="10" ht="34"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4.5"/>
  <cols>
    <col width="7" customWidth="1" min="1" max="1"/>
    <col width="8" customWidth="1" min="2" max="2"/>
    <col width="16" customWidth="1" min="3" max="3"/>
    <col width="26" customWidth="1" min="4" max="4"/>
    <col width="70" customWidth="1" min="5" max="5"/>
    <col width="40" customWidth="1" min="6" max="6"/>
    <col width="18" customWidth="1" min="7" max="7"/>
  </cols>
  <sheetData>
    <row r="1" ht="34" customHeight="1">
      <c r="A1" s="4" t="inlineStr">
        <is>
          <t>النوع</t>
        </is>
      </c>
      <c r="B1" s="4" t="inlineStr">
        <is>
          <t>الرقم</t>
        </is>
      </c>
      <c r="C1" s="4" t="inlineStr">
        <is>
          <t>الحاجة أو متى يُستخدم</t>
        </is>
      </c>
      <c r="D1" s="4" t="inlineStr">
        <is>
          <t>الموضع</t>
        </is>
      </c>
      <c r="E1" s="4" t="inlineStr">
        <is>
          <t>النص</t>
        </is>
      </c>
      <c r="F1" s="4" t="inlineStr">
        <is>
          <t>سبب الرفض</t>
        </is>
      </c>
      <c r="G1" s="4" t="inlineStr">
        <is>
          <t>المراجع والتاريخ</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rightToLeft="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8" customWidth="1" min="1" max="1"/>
    <col width="46" customWidth="1" min="2" max="2"/>
    <col width="26" customWidth="1" min="3" max="3"/>
    <col width="46" customWidth="1" min="4" max="4"/>
    <col width="14" customWidth="1" min="5" max="5"/>
    <col width="10" customWidth="1" min="6" max="6"/>
    <col width="14" customWidth="1" min="7" max="7"/>
  </cols>
  <sheetData>
    <row r="1">
      <c r="A1" s="4" t="inlineStr">
        <is>
          <t>الرقم</t>
        </is>
      </c>
      <c r="B1" s="4" t="inlineStr">
        <is>
          <t>العنوان</t>
        </is>
      </c>
      <c r="C1" s="4" t="inlineStr">
        <is>
          <t>الجهة</t>
        </is>
      </c>
      <c r="D1" s="4" t="inlineStr">
        <is>
          <t>الرابط</t>
        </is>
      </c>
      <c r="E1" s="4" t="inlineStr">
        <is>
          <t>الدور</t>
        </is>
      </c>
      <c r="F1" s="4" t="inlineStr">
        <is>
          <t>معتمد؟</t>
        </is>
      </c>
      <c r="G1" s="4" t="inlineStr">
        <is>
          <t>الحاجات</t>
        </is>
      </c>
    </row>
    <row r="2" ht="25" customHeight="1">
      <c r="A2" s="6" t="inlineStr">
        <is>
          <t>م-01</t>
        </is>
      </c>
      <c r="B2" s="8" t="inlineStr">
        <is>
          <t>بينات: أسئلة منتقاة حول الإسلام</t>
        </is>
      </c>
      <c r="C2" s="6" t="inlineStr">
        <is>
          <t>مركز أصول (1445هـ)</t>
        </is>
      </c>
      <c r="D2" s="8" t="inlineStr">
        <is>
          <t>https://dawa.center/file/7937</t>
        </is>
      </c>
      <c r="E2" s="6" t="inlineStr">
        <is>
          <t>معروضة</t>
        </is>
      </c>
      <c r="F2" s="8" t="inlineStr">
        <is>
          <t>نعم</t>
        </is>
      </c>
      <c r="G2" s="6" t="inlineStr">
        <is>
          <t>ح2 ح3 ح4 ح6 ح7 ح1</t>
        </is>
      </c>
    </row>
    <row r="3">
      <c r="A3" s="6" t="inlineStr">
        <is>
          <t>م-02</t>
        </is>
      </c>
      <c r="B3" s="8" t="inlineStr">
        <is>
          <t>الموسوعة العقدية — الباب الثاني: الإيمان بالقرآن</t>
        </is>
      </c>
      <c r="C3" s="6" t="inlineStr">
        <is>
          <t>الدرر السنية</t>
        </is>
      </c>
      <c r="D3" s="8" t="inlineStr">
        <is>
          <t>https://dorar.net/aqeeda/1361</t>
        </is>
      </c>
      <c r="E3" s="6" t="inlineStr">
        <is>
          <t>معروضة</t>
        </is>
      </c>
      <c r="F3" s="8" t="inlineStr">
        <is>
          <t>نعم</t>
        </is>
      </c>
      <c r="G3" s="6" t="inlineStr">
        <is>
          <t>ح1 ح3</t>
        </is>
      </c>
    </row>
    <row r="4">
      <c r="A4" s="6" t="inlineStr">
        <is>
          <t>م-03</t>
        </is>
      </c>
      <c r="B4" s="8" t="inlineStr">
        <is>
          <t>مباحث في علوم القرآن، مناع القطان</t>
        </is>
      </c>
      <c r="C4" s="6" t="inlineStr">
        <is>
          <t>quranpedia.net</t>
        </is>
      </c>
      <c r="D4" s="8" t="inlineStr">
        <is>
          <t>https://quranpedia.net/book/23563</t>
        </is>
      </c>
      <c r="E4" s="6" t="inlineStr">
        <is>
          <t>معروضة</t>
        </is>
      </c>
      <c r="F4" s="8" t="inlineStr">
        <is>
          <t>نعم</t>
        </is>
      </c>
      <c r="G4" s="6" t="inlineStr">
        <is>
          <t>ح2 ح4 ح5 ح6</t>
        </is>
      </c>
    </row>
    <row r="5">
      <c r="A5" s="6" t="inlineStr">
        <is>
          <t>ت-01</t>
        </is>
      </c>
      <c r="B5" s="8" t="inlineStr">
        <is>
          <t>مصحف مجمع الملك فهد (نص الآيات)</t>
        </is>
      </c>
      <c r="C5" s="6" t="inlineStr">
        <is>
          <t>مجمع الملك فهد</t>
        </is>
      </c>
      <c r="D5" s="8" t="inlineStr">
        <is>
          <t>https://quranpedia.net</t>
        </is>
      </c>
      <c r="E5" s="6" t="inlineStr">
        <is>
          <t>تحقق فقط</t>
        </is>
      </c>
      <c r="F5" s="8" t="inlineStr">
        <is>
          <t>نعم</t>
        </is>
      </c>
      <c r="G5" s="6" t="inlineStr">
        <is>
          <t>كل الحاجات</t>
        </is>
      </c>
    </row>
    <row r="6">
      <c r="A6" s="6" t="inlineStr">
        <is>
          <t>ت-02</t>
        </is>
      </c>
      <c r="B6" s="8" t="inlineStr">
        <is>
          <t>الموسوعة الحديثية</t>
        </is>
      </c>
      <c r="C6" s="6" t="inlineStr">
        <is>
          <t>الدرر السنية</t>
        </is>
      </c>
      <c r="D6" s="8" t="inlineStr">
        <is>
          <t>https://dorar.net/hadith</t>
        </is>
      </c>
      <c r="E6" s="6" t="inlineStr">
        <is>
          <t>تحقق فقط</t>
        </is>
      </c>
      <c r="F6" s="8" t="inlineStr">
        <is>
          <t>نعم</t>
        </is>
      </c>
      <c r="G6" s="6" t="inlineStr">
        <is>
          <t>كل الحاجات</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rightToLeft="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7" customWidth="1" min="1" max="1"/>
    <col width="18" customWidth="1" min="2" max="2"/>
    <col width="30" customWidth="1" min="3" max="3"/>
    <col width="60" customWidth="1" min="4" max="4"/>
    <col width="40" customWidth="1" min="5" max="5"/>
    <col width="12" customWidth="1" min="6" max="6"/>
    <col width="11" customWidth="1" min="7" max="8"/>
    <col width="14" customWidth="1" min="9" max="9"/>
    <col width="16" customWidth="1" min="10" max="10"/>
  </cols>
  <sheetData>
    <row r="1">
      <c r="A1" s="4" t="inlineStr">
        <is>
          <t>الرمز</t>
        </is>
      </c>
      <c r="B1" s="4" t="inlineStr">
        <is>
          <t>القسم</t>
        </is>
      </c>
      <c r="C1" s="4" t="inlineStr">
        <is>
          <t>الحاجة</t>
        </is>
      </c>
      <c r="D1" s="4" t="inlineStr">
        <is>
          <t>صياغات المستخدم</t>
        </is>
      </c>
      <c r="E1" s="4" t="inlineStr">
        <is>
          <t>خارج النطاق (امتناع وإحالة)</t>
        </is>
      </c>
      <c r="F1" s="4" t="inlineStr">
        <is>
          <t>الخطوة التالية</t>
        </is>
      </c>
      <c r="G1" s="4" t="inlineStr">
        <is>
          <t>أساسي مخطط</t>
        </is>
      </c>
      <c r="H1" s="4" t="inlineStr">
        <is>
          <t>أساسي معتمد</t>
        </is>
      </c>
      <c r="I1" s="4" t="inlineStr">
        <is>
          <t>التغطية</t>
        </is>
      </c>
      <c r="J1" s="4" t="inlineStr">
        <is>
          <t>مقطع الزر</t>
        </is>
      </c>
    </row>
    <row r="2" ht="37.5" customHeight="1">
      <c r="A2" s="6" t="inlineStr">
        <is>
          <t>ح1</t>
        </is>
      </c>
      <c r="B2" s="6" t="inlineStr">
        <is>
          <t>التعرّف إلى القرآن</t>
        </is>
      </c>
      <c r="C2" s="6" t="inlineStr">
        <is>
          <t>ما القرآن، وما مكانته في الإسلام؟</t>
        </is>
      </c>
      <c r="D2" s="6" t="inlineStr">
        <is>
          <t>«ما هو القرآن؟» · «إيش يعني القرآن؟» · «ليش المسلمين يقدّسون القرآن؟» · «هل القرآن مثل الإنجيل عند المسيحيين؟» · «ما الفرق بين القرآن والحديث؟» · «لماذا يقرأ المسلمون القرآن كثيراً؟»</t>
        </is>
      </c>
      <c r="E2" s="6" t="inlineStr">
        <is>
          <t>صفة الكلام العقدية التفصيلية · فضائل سور بعينها</t>
        </is>
      </c>
      <c r="F2" s="6" t="inlineStr">
        <is>
          <t>ح2 · ح5</t>
        </is>
      </c>
      <c r="G2" s="7">
        <f>COUNTIFS(المقاطع!$B$2:$B$300,A2,المقاطع!$C$2:$C$300,"أساسي")+COUNTIFS(للمراجعة!$C$2:$C$300,A2,للمراجعة!$D$2:$D$300,"أساسي")+COUNTIFS(الناقص!$B$2:$B$300,A2,الناقص!$C$2:$C$300,"أساسي")</f>
        <v/>
      </c>
      <c r="H2" s="7">
        <f>COUNTIFS(المقاطع!$B$2:$B$300,A2,المقاطع!$C$2:$C$300,"أساسي",المقاطع!$S$2:$S$300,"صالح للنشر")</f>
        <v/>
      </c>
      <c r="I2" s="7">
        <f>IF(H2=0,"لا تغطية",IF(H2&lt;G2,"جزئية","مكتملة"))</f>
        <v/>
      </c>
      <c r="J2" s="7" t="n"/>
    </row>
    <row r="3" ht="37.5" customHeight="1">
      <c r="A3" s="6" t="inlineStr">
        <is>
          <t>ح5</t>
        </is>
      </c>
      <c r="B3" s="6" t="inlineStr">
        <is>
          <t>التعرّف إلى القرآن</t>
        </is>
      </c>
      <c r="C3" s="6" t="inlineStr">
        <is>
          <t>ما أبرز موضوعات القرآن ورسالته؟</t>
        </is>
      </c>
      <c r="D3" s="6" t="inlineStr">
        <is>
          <t>«عن ماذا يتكلم القرآن؟» · «ما الرسالة الأساسية في القرآن؟» · «هل القرآن فيه قصص؟» · «هل القرآن كتاب أحكام فقط؟» · «ماذا يطلب القرآن من الإنسان؟» · «هل يتكلم القرآن عن يوم القيامة؟»</t>
        </is>
      </c>
      <c r="E3" s="6" t="inlineStr">
        <is>
          <t>تفسير آية بعينها · الأحكام التفصيلية · مقارنة الأديان التفصيلية · التفصيل في نبي بعينه</t>
        </is>
      </c>
      <c r="F3" s="6" t="inlineStr">
        <is>
          <t>ح6</t>
        </is>
      </c>
      <c r="G3" s="7">
        <f>COUNTIFS(المقاطع!$B$2:$B$300,A3,المقاطع!$C$2:$C$300,"أساسي")+COUNTIFS(للمراجعة!$C$2:$C$300,A3,للمراجعة!$D$2:$D$300,"أساسي")+COUNTIFS(الناقص!$B$2:$B$300,A3,الناقص!$C$2:$C$300,"أساسي")</f>
        <v/>
      </c>
      <c r="H3" s="7">
        <f>COUNTIFS(المقاطع!$B$2:$B$300,A3,المقاطع!$C$2:$C$300,"أساسي",المقاطع!$S$2:$S$300,"صالح للنشر")</f>
        <v/>
      </c>
      <c r="I3" s="7">
        <f>IF(H3=0,"لا تغطية",IF(H3&lt;G3,"جزئية","مكتملة"))</f>
        <v/>
      </c>
      <c r="J3" s="7" t="n"/>
    </row>
    <row r="4" ht="25" customHeight="1">
      <c r="A4" s="6" t="inlineStr">
        <is>
          <t>ح2</t>
        </is>
      </c>
      <c r="B4" s="6" t="inlineStr">
        <is>
          <t>نزول القرآن وحفظه</t>
        </is>
      </c>
      <c r="C4" s="6" t="inlineStr">
        <is>
          <t>كيف نزل القرآن؟</t>
        </is>
      </c>
      <c r="D4" s="6" t="inlineStr">
        <is>
          <t>«كيف وصل القرآن لمحمد؟» · «هل نزل القرآن مرة وحدة؟» · «ما هو الوحي؟» · «كم سنة استمر نزول القرآن؟» · «ما أول آية نزلت؟» · «ما معنى سورة مكية ومدنية؟»</t>
        </is>
      </c>
      <c r="E4" s="6" t="inlineStr">
        <is>
          <t>أسباب نزول آيات بعينها · الناسخ والمنسوخ</t>
        </is>
      </c>
      <c r="F4" s="6" t="inlineStr">
        <is>
          <t>ح3</t>
        </is>
      </c>
      <c r="G4" s="7">
        <f>COUNTIFS(المقاطع!$B$2:$B$300,A4,المقاطع!$C$2:$C$300,"أساسي")+COUNTIFS(للمراجعة!$C$2:$C$300,A4,للمراجعة!$D$2:$D$300,"أساسي")+COUNTIFS(الناقص!$B$2:$B$300,A4,الناقص!$C$2:$C$300,"أساسي")</f>
        <v/>
      </c>
      <c r="H4" s="7">
        <f>COUNTIFS(المقاطع!$B$2:$B$300,A4,المقاطع!$C$2:$C$300,"أساسي",المقاطع!$S$2:$S$300,"صالح للنشر")</f>
        <v/>
      </c>
      <c r="I4" s="7">
        <f>IF(H4=0,"لا تغطية",IF(H4&lt;G4,"جزئية","مكتملة"))</f>
        <v/>
      </c>
      <c r="J4" s="7" t="n"/>
    </row>
    <row r="5" ht="37.5" customHeight="1">
      <c r="A5" s="6" t="inlineStr">
        <is>
          <t>ح3</t>
        </is>
      </c>
      <c r="B5" s="6" t="inlineStr">
        <is>
          <t>نزول القرآن وحفظه</t>
        </is>
      </c>
      <c r="C5" s="6" t="inlineStr">
        <is>
          <t>كيف حُفظ القرآن وجُمع؟</t>
        </is>
      </c>
      <c r="D5" s="6" t="inlineStr">
        <is>
          <t>«كيف نعرف أن القرآن لم يتغير؟» · «مين كتب القرآن؟» · «متى صار القرآن كتاباً واحداً؟» · «هل القرآن اللي عندنا هو نفسه أيام النبي؟» · «كيف حفظ الصحابة القرآن؟» · «ليش في ناس يحفظون القرآن كامل؟»</t>
        </is>
      </c>
      <c r="E5" s="6" t="inlineStr">
        <is>
          <t>القراءات واختلافها (قرار نطاق) · الروايات الجدلية في الجمع · المخطوطات وشبهات المستشرقين التفصيلية</t>
        </is>
      </c>
      <c r="F5" s="6" t="inlineStr">
        <is>
          <t>ح7 · ح4</t>
        </is>
      </c>
      <c r="G5" s="7">
        <f>COUNTIFS(المقاطع!$B$2:$B$300,A5,المقاطع!$C$2:$C$300,"أساسي")+COUNTIFS(للمراجعة!$C$2:$C$300,A5,للمراجعة!$D$2:$D$300,"أساسي")+COUNTIFS(الناقص!$B$2:$B$300,A5,الناقص!$C$2:$C$300,"أساسي")</f>
        <v/>
      </c>
      <c r="H5" s="7">
        <f>COUNTIFS(المقاطع!$B$2:$B$300,A5,المقاطع!$C$2:$C$300,"أساسي",المقاطع!$S$2:$S$300,"صالح للنشر")</f>
        <v/>
      </c>
      <c r="I5" s="7">
        <f>IF(H5=0,"لا تغطية",IF(H5&lt;G5,"جزئية","مكتملة"))</f>
        <v/>
      </c>
      <c r="J5" s="7" t="n"/>
    </row>
    <row r="6" ht="25" customHeight="1">
      <c r="A6" s="6" t="inlineStr">
        <is>
          <t>ح4</t>
        </is>
      </c>
      <c r="B6" s="6" t="inlineStr">
        <is>
          <t>البدء بالقراءة والفهم</t>
        </is>
      </c>
      <c r="C6" s="6" t="inlineStr">
        <is>
          <t>كيف تُنظَّم السور والآيات؟ وكيف أصل إلى آية؟</t>
        </is>
      </c>
      <c r="D6" s="6" t="inlineStr">
        <is>
          <t>«كم عدد سور القرآن؟» · «ما الفرق بين السورة والآية؟» · «كيف أجد آية في المصحف؟» · «ما معنى جزء عمّ؟» · «ليش السور مو مرتبة حسب نزولها؟» · «كيف أعرف رقم الآية؟»</t>
        </is>
      </c>
      <c r="E6" s="6" t="inlineStr">
        <is>
          <t>الخلاف في عدّ الآيات · «الإعجاز العددي»</t>
        </is>
      </c>
      <c r="F6" s="6" t="inlineStr">
        <is>
          <t>ح6</t>
        </is>
      </c>
      <c r="G6" s="7">
        <f>COUNTIFS(المقاطع!$B$2:$B$300,A6,المقاطع!$C$2:$C$300,"أساسي")+COUNTIFS(للمراجعة!$C$2:$C$300,A6,للمراجعة!$D$2:$D$300,"أساسي")+COUNTIFS(الناقص!$B$2:$B$300,A6,الناقص!$C$2:$C$300,"أساسي")</f>
        <v/>
      </c>
      <c r="H6" s="7">
        <f>COUNTIFS(المقاطع!$B$2:$B$300,A6,المقاطع!$C$2:$C$300,"أساسي",المقاطع!$S$2:$S$300,"صالح للنشر")</f>
        <v/>
      </c>
      <c r="I6" s="7">
        <f>IF(H6=0,"لا تغطية",IF(H6&lt;G6,"جزئية","مكتملة"))</f>
        <v/>
      </c>
      <c r="J6" s="7" t="n"/>
    </row>
    <row r="7" ht="37.5" customHeight="1">
      <c r="A7" s="6" t="inlineStr">
        <is>
          <t>ح6</t>
        </is>
      </c>
      <c r="B7" s="6" t="inlineStr">
        <is>
          <t>البدء بالقراءة والفهم</t>
        </is>
      </c>
      <c r="C7" s="6" t="inlineStr">
        <is>
          <t>كيف أبدأ قراءة القرآن وفهم معانيه؟</t>
        </is>
      </c>
      <c r="D7" s="6" t="inlineStr">
        <is>
          <t>«من أين أبدأ قراءة القرآن؟» · «أقرأ القرآن وما أفهم، شو أسوي؟» · «ما أفضل تفسير للمبتدئ؟» · «هل لازم أقرأه بالترتيب؟» · «كيف أفهم الكلمات الصعبة في القرآن؟» · «هل الترجمة تعتبر قرآناً؟»</t>
        </is>
      </c>
      <c r="E7" s="6" t="inlineStr">
        <is>
          <t>أحكام التجويد التفصيلية · أحكام لمس المصحف وقراءة أصحاب الأعذار (فتوى) · تفسير آية بعينها</t>
        </is>
      </c>
      <c r="F7" s="6" t="inlineStr">
        <is>
          <t>ح5</t>
        </is>
      </c>
      <c r="G7" s="7">
        <f>COUNTIFS(المقاطع!$B$2:$B$300,A7,المقاطع!$C$2:$C$300,"أساسي")+COUNTIFS(للمراجعة!$C$2:$C$300,A7,للمراجعة!$D$2:$D$300,"أساسي")+COUNTIFS(الناقص!$B$2:$B$300,A7,الناقص!$C$2:$C$300,"أساسي")</f>
        <v/>
      </c>
      <c r="H7" s="7">
        <f>COUNTIFS(المقاطع!$B$2:$B$300,A7,المقاطع!$C$2:$C$300,"أساسي",المقاطع!$S$2:$S$300,"صالح للنشر")</f>
        <v/>
      </c>
      <c r="I7" s="7">
        <f>IF(H7=0,"لا تغطية",IF(H7&lt;G7,"جزئية","مكتملة"))</f>
        <v/>
      </c>
      <c r="J7" s="7" t="n"/>
    </row>
    <row r="8" ht="37.5" customHeight="1">
      <c r="A8" s="6" t="inlineStr">
        <is>
          <t>ح7</t>
        </is>
      </c>
      <c r="B8" s="6" t="inlineStr">
        <is>
          <t>أسئلة عن مصدر القرآن</t>
        </is>
      </c>
      <c r="C8" s="6" t="inlineStr">
        <is>
          <t>لماذا يؤمن المسلمون أن القرآن من الله؟</t>
        </is>
      </c>
      <c r="D8" s="6" t="inlineStr">
        <is>
          <t>«هل القرآن من تأليف محمد ﷺ؟» (مثال رسمي) · «كيف نعرف أن القرآن من الله وليس من البشر؟» · «ربما نقل محمد من التوراة والإنجيل؟» · «ما الدليل أن القرآن كلام الله؟» · «هل كان النبي يعرف القراءة والكتابة؟» · صيغة عدائية: «القرآن مجرد كتاب ألّفه رجل»</t>
        </is>
      </c>
      <c r="E8" s="6" t="inlineStr">
        <is>
          <t>«الإعجاز العلمي» (قرار نطاق) · الردود التفصيلية على المستشرقين</t>
        </is>
      </c>
      <c r="F8" s="6" t="inlineStr">
        <is>
          <t>ح3 · ح1</t>
        </is>
      </c>
      <c r="G8" s="7">
        <f>COUNTIFS(المقاطع!$B$2:$B$300,A8,المقاطع!$C$2:$C$300,"أساسي")+COUNTIFS(للمراجعة!$C$2:$C$300,A8,للمراجعة!$D$2:$D$300,"أساسي")+COUNTIFS(الناقص!$B$2:$B$300,A8,الناقص!$C$2:$C$300,"أساسي")</f>
        <v/>
      </c>
      <c r="H8" s="7">
        <f>COUNTIFS(المقاطع!$B$2:$B$300,A8,المقاطع!$C$2:$C$300,"أساسي",المقاطع!$S$2:$S$300,"صالح للنشر")</f>
        <v/>
      </c>
      <c r="I8" s="7">
        <f>IF(H8=0,"لا تغطية",IF(H8&lt;G8,"جزئية","مكتملة"))</f>
        <v/>
      </c>
      <c r="J8" s="7" t="n"/>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8"/>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4.5"/>
  <cols>
    <col width="40" customWidth="1" min="1" max="1"/>
    <col width="12" customWidth="1" min="2" max="3"/>
  </cols>
  <sheetData>
    <row r="1" ht="34" customHeight="1">
      <c r="A1" s="4" t="inlineStr">
        <is>
          <t>المؤشر</t>
        </is>
      </c>
      <c r="B1" s="4" t="inlineStr">
        <is>
          <t>الحالي</t>
        </is>
      </c>
      <c r="C1" s="4" t="inlineStr">
        <is>
          <t>الهدف</t>
        </is>
      </c>
    </row>
    <row r="2">
      <c r="A2" s="6" t="inlineStr">
        <is>
          <t>مقاطع معتمدة صالحة للنشر</t>
        </is>
      </c>
      <c r="B2" s="5">
        <f>COUNTIF(المقاطع!$S$2:$S$300,"صالح للنشر")</f>
        <v/>
      </c>
      <c r="C2" s="6" t="inlineStr">
        <is>
          <t>—</t>
        </is>
      </c>
    </row>
    <row r="3">
      <c r="A3" s="6" t="inlineStr">
        <is>
          <t>منها أساسية</t>
        </is>
      </c>
      <c r="B3" s="5">
        <f>COUNTIFS(المقاطع!$C$2:$C$300,"أساسي",المقاطع!$S$2:$S$300,"صالح للنشر")</f>
        <v/>
      </c>
      <c r="C3" s="6" t="inlineStr">
        <is>
          <t>20</t>
        </is>
      </c>
    </row>
    <row r="4">
      <c r="A4" s="6" t="inlineStr">
        <is>
          <t>بنود تنتظر المراجعة (مقاطع)</t>
        </is>
      </c>
      <c r="B4" s="5">
        <f>COUNTIF(للمراجعة!$A$2:$A$300,"مقطع")</f>
        <v/>
      </c>
      <c r="C4" s="6" t="inlineStr">
        <is>
          <t>0</t>
        </is>
      </c>
    </row>
    <row r="5">
      <c r="A5" s="6" t="inlineStr">
        <is>
          <t>بنود تنتظر المراجعة (قوالب)</t>
        </is>
      </c>
      <c r="B5" s="5">
        <f>COUNTIF(للمراجعة!$A$2:$A$300,"قالب")</f>
        <v/>
      </c>
      <c r="C5" s="6" t="inlineStr">
        <is>
          <t>0</t>
        </is>
      </c>
    </row>
    <row r="6">
      <c r="A6" s="6" t="inlineStr">
        <is>
          <t>قوالب معتمدة</t>
        </is>
      </c>
      <c r="B6" s="5">
        <f>COUNTA(القوالب!$A$2:$A$300)</f>
        <v/>
      </c>
      <c r="C6" s="6" t="inlineStr">
        <is>
          <t>29</t>
        </is>
      </c>
    </row>
    <row r="7">
      <c r="A7" s="6" t="inlineStr">
        <is>
          <t>مقاطع لم تُستخرج بعد</t>
        </is>
      </c>
      <c r="B7" s="5">
        <f>COUNTA(الناقص!$A$2:$A$300)</f>
        <v/>
      </c>
      <c r="C7" s="6" t="inlineStr">
        <is>
          <t>0</t>
        </is>
      </c>
    </row>
    <row r="8">
      <c r="A8" s="6" t="inlineStr">
        <is>
          <t>مرفوضة (سجل)</t>
        </is>
      </c>
      <c r="B8" s="5">
        <f>COUNTA(المرفوض!$A$2:$A$300)</f>
        <v/>
      </c>
      <c r="C8" s="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2026-10-04T16:49:26Z</dcterms:created>
  <dcterms:modified xmlns:dcterms="http://purl.org/dc/terms/" xmlns:xsi="http://www.w3.org/2001/XMLSchema-instance" xsi:type="dcterms:W3CDTF">2026-10-05T12:48:12Z</dcterms:modified>
  <cp:lastModifiedBy>MY LAPTOP</cp:lastModifiedBy>
</cp:coreProperties>
</file>