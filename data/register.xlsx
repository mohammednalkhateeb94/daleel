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للمختص" sheetId="2" state="visible" r:id="rId2"/>
    <sheet xmlns:r="http://schemas.openxmlformats.org/officeDocument/2006/relationships" name="المصادر" sheetId="3" state="visible" r:id="rId3"/>
    <sheet xmlns:r="http://schemas.openxmlformats.org/officeDocument/2006/relationships" name="الاحتياجات" sheetId="4" state="visible" r:id="rId4"/>
    <sheet xmlns:r="http://schemas.openxmlformats.org/officeDocument/2006/relationships" name="المقاطع" sheetId="5" state="visible" r:id="rId5"/>
    <sheet xmlns:r="http://schemas.openxmlformats.org/officeDocument/2006/relationships" name="القوالب" sheetId="6" state="visible" r:id="rId6"/>
    <sheet xmlns:r="http://schemas.openxmlformats.org/officeDocument/2006/relationships" name="الملخص" sheetId="7" state="visible" r:id="rId7"/>
  </sheets>
  <definedNames>
    <definedName name="_xlnm._FilterDatabase" localSheetId="4" hidden="1">'المقاطع'!$A$1:$V$31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2"/>
    </font>
    <font>
      <name val="Arial"/>
      <sz val="10"/>
    </font>
    <font>
      <name val="Arial"/>
      <b val="1"/>
      <sz val="10"/>
    </font>
    <font>
      <name val="Arial"/>
      <b val="1"/>
      <color rgb="00FFFFFF"/>
      <sz val="11"/>
    </font>
    <font>
      <name val="Arial"/>
      <b val="1"/>
      <sz val="13"/>
    </font>
    <font>
      <name val="Arial"/>
      <b val="1"/>
      <color rgb="00FFFFFF"/>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4" fillId="2" borderId="1" applyAlignment="1" pivotButton="0" quotePrefix="0" xfId="0">
      <alignment horizontal="center" vertical="center" wrapText="1" readingOrder="2"/>
    </xf>
    <xf numFmtId="0" fontId="2" fillId="0" borderId="1" applyAlignment="1" pivotButton="0" quotePrefix="0" xfId="0">
      <alignment horizontal="right" vertical="top" wrapText="1" readingOrder="2"/>
    </xf>
    <xf numFmtId="0" fontId="2" fillId="3"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3" fillId="4" borderId="1" applyAlignment="1" pivotButton="0" quotePrefix="0" xfId="0">
      <alignment horizontal="right" vertical="top" wrapText="1" readingOrder="2"/>
    </xf>
    <xf numFmtId="0" fontId="5" fillId="0" borderId="0" pivotButton="0" quotePrefix="0" xfId="0"/>
    <xf numFmtId="0" fontId="6" fillId="2" borderId="1" applyAlignment="1" pivotButton="0" quotePrefix="0" xfId="0">
      <alignment horizontal="center" vertical="center" wrapText="1" readingOrder="2"/>
    </xf>
  </cellXfs>
  <cellStyles count="1">
    <cellStyle name="Normal" xfId="0" builtinId="0" hidden="0"/>
  </cellStyles>
  <dxfs count="2">
    <dxf>
      <fill>
        <patternFill patternType="solid">
          <fgColor rgb="00F8CBAD"/>
        </patternFill>
      </fill>
    </dxf>
    <dxf>
      <font>
        <name val="Arial"/>
        <b val="1"/>
        <color rgb="0000610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28" customWidth="1" min="1" max="1"/>
    <col width="110" customWidth="1" min="2" max="2"/>
  </cols>
  <sheetData>
    <row r="1">
      <c r="A1" s="1" t="inlineStr">
        <is>
          <t>سجل مقاطع «دليل»</t>
        </is>
      </c>
      <c r="B1" s="2" t="inlineStr">
        <is>
          <t>لا يعرض المنتج إلا المقطع الذي يظهر في عموده الأخير «قابل للنشر».</t>
        </is>
      </c>
    </row>
    <row r="2">
      <c r="A2" s="3" t="inlineStr"/>
      <c r="B2" s="2" t="inlineStr"/>
    </row>
    <row r="3">
      <c r="A3" s="3" t="inlineStr">
        <is>
          <t>أسس صحة السجل</t>
        </is>
      </c>
      <c r="B3" s="2" t="inlineStr"/>
    </row>
    <row r="4">
      <c r="A4" s="3" t="inlineStr">
        <is>
          <t>1. النص حرفي</t>
        </is>
      </c>
      <c r="B4" s="2" t="inlineStr">
        <is>
          <t>الجواب منقول كما هو من الموضع المذكور (المادة + المسألة + الصفحة)، دون تبسيط أو تلخيص.</t>
        </is>
      </c>
    </row>
    <row r="5">
      <c r="A5" s="3" t="inlineStr">
        <is>
          <t>2. المصدر معتمد ومحدد</t>
        </is>
      </c>
      <c r="B5" s="2" t="inlineStr">
        <is>
          <t>كل مقطع من مادة في ورقة «المصادر» معتمدة، بعنوان ورابط فعليين. يظهر المرجع والموضع والرابط مع كل مقطع.</t>
        </is>
      </c>
    </row>
    <row r="6">
      <c r="A6" s="3" t="inlineStr">
        <is>
          <t>3. المستوى</t>
        </is>
      </c>
      <c r="B6" s="2" t="inlineStr">
        <is>
          <t>أ أو ب فقط يُنشر. ج ود لا يُنشران (امتناع وإحالة).</t>
        </is>
      </c>
    </row>
    <row r="7">
      <c r="A7" s="3" t="inlineStr">
        <is>
          <t>4. المراجعة</t>
        </is>
      </c>
      <c r="B7" s="2" t="inlineStr">
        <is>
          <t>اجتاز الفحوص السبعة أدناه، مع اسم المراجع والتاريخ.</t>
        </is>
      </c>
    </row>
    <row r="8">
      <c r="A8" s="3" t="inlineStr">
        <is>
          <t>5. الحساس</t>
        </is>
      </c>
      <c r="B8" s="2" t="inlineStr">
        <is>
          <t>لا يُنشر قبل «موافق» من المختص الأعلم. «موافق بتعديل» تبقى معلّقة حتى يُنفذ التعديل وتُغيّر إلى «موافق».</t>
        </is>
      </c>
    </row>
    <row r="9">
      <c r="A9" s="3" t="inlineStr">
        <is>
          <t>6. الآيات والأحاديث</t>
        </is>
      </c>
      <c r="B9" s="2" t="inlineStr">
        <is>
          <t>الآيات تُعرض من نص المصحف المعتمد بالسورة والآية، لا من النص المنسوخ. الأحاديث بمصدرها وحكمها.</t>
        </is>
      </c>
    </row>
    <row r="10">
      <c r="A10" s="3" t="inlineStr">
        <is>
          <t>7. الحالة «معتمد»</t>
        </is>
      </c>
      <c r="B10" s="2" t="inlineStr">
        <is>
          <t>آخر خطوة بعد كل ما سبق.</t>
        </is>
      </c>
    </row>
    <row r="11">
      <c r="A11" s="3" t="inlineStr"/>
      <c r="B11" s="2" t="inlineStr"/>
    </row>
    <row r="12">
      <c r="A12" s="3" t="inlineStr">
        <is>
          <t>الفحوص السبعة</t>
        </is>
      </c>
      <c r="B12" s="2" t="inlineStr">
        <is>
          <t>١ يجيب عن السؤال المنسوب · ٢ لا يحذف قيداً أو سياقاً · ٣ لا يعرض اعتراضاً دون جواب · ٤ المعرفة السابقة واضحة · ٥ النقل والمصطلحات سليمة · ٦ النص موجود حرفياً في الموضع · ٧ لا قطع في خلاف ولا إجماع غير ثابت</t>
        </is>
      </c>
    </row>
    <row r="13">
      <c r="A13" s="3" t="inlineStr"/>
      <c r="B13" s="2" t="inlineStr"/>
    </row>
    <row r="14">
      <c r="A14" s="3" t="inlineStr">
        <is>
          <t>الألوان</t>
        </is>
      </c>
      <c r="B14" s="2" t="inlineStr">
        <is>
          <t>أصفر: تكتب فيه · رمادي: معادلة لا تُعدّل · برتقالي: مقطع حساس</t>
        </is>
      </c>
    </row>
    <row r="15">
      <c r="A15" s="3" t="inlineStr">
        <is>
          <t>النطاق</t>
        </is>
      </c>
      <c r="B15" s="2" t="inlineStr">
        <is>
          <t>العربية · 4 أقسام · 7 احتياجات · 20 مقطعاً أساسياً (3 لكل حاجة، وح7 اثنان) + مقاطع إضافية · نسخة 6 — 4 أكتوبر 2026</t>
        </is>
      </c>
    </row>
    <row r="17">
      <c r="A17" t="inlineStr">
        <is>
          <t>v8: وافق المختص الأعلم على المقاطع الحساسة العشرة دون تعديل (4 أكتوبر).</t>
        </is>
      </c>
    </row>
    <row r="19">
      <c r="A19" t="inlineStr">
        <is>
          <t>v9: القوالب: أُعيدت صياغة 12 قالباً وأُضيف 10 (البداية، الخصوصية، بعد «لا» و«نعم»، الإدخال غير المفهوم، ما بقي غير مغطى، الآيات). كلها «مسودة» حتى تعتمدها.</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9" customWidth="1" min="2" max="2"/>
    <col width="26" customWidth="1" min="3" max="3"/>
    <col width="34" customWidth="1" min="4" max="4"/>
    <col width="70" customWidth="1" min="5" max="5"/>
    <col width="48" customWidth="1" min="6" max="6"/>
    <col width="52" customWidth="1" min="7" max="7"/>
    <col width="14" customWidth="1" min="8" max="8"/>
    <col width="36" customWidth="1" min="9" max="9"/>
  </cols>
  <sheetData>
    <row r="1">
      <c r="A1" s="10" t="inlineStr">
        <is>
          <t>المقاطع الحساسة: ما المطلوب من المختص الأعلم</t>
        </is>
      </c>
    </row>
    <row r="2" ht="48" customHeight="1">
      <c r="A2" s="2" t="inlineStr">
        <is>
          <t>المقطع الحساس لا يُنشر حتى يكتب المختص قراره. اقرأ «الجواب كما في المصدر» ثم «لماذا هو حساس» ثم أجب عن «المطلوب منك». القرار: «موافق» يُنشر كما هو · «موافق بتعديل» اكتب التعديل (غالباً قصّ الحدود فقط، فلا تُعاد صياغة النص) · «غير موافق» لا يُنشر. الأولوية 1 = مقاطع أساسية يتوقف عليها المنتج.</t>
        </is>
      </c>
    </row>
    <row r="4">
      <c r="A4" s="11" t="inlineStr">
        <is>
          <t>الأولوية</t>
        </is>
      </c>
      <c r="B4" s="11" t="inlineStr">
        <is>
          <t>رقم المقطع</t>
        </is>
      </c>
      <c r="C4" s="11" t="inlineStr">
        <is>
          <t>المسألة في «بينات»</t>
        </is>
      </c>
      <c r="D4" s="11" t="inlineStr">
        <is>
          <t>السؤال في المصدر</t>
        </is>
      </c>
      <c r="E4" s="11" t="inlineStr">
        <is>
          <t>الجواب كما في المصدر</t>
        </is>
      </c>
      <c r="F4" s="11" t="inlineStr">
        <is>
          <t>لماذا هو حساس؟</t>
        </is>
      </c>
      <c r="G4" s="11" t="inlineStr">
        <is>
          <t>المطلوب منك</t>
        </is>
      </c>
      <c r="H4" s="11" t="inlineStr">
        <is>
          <t>القرار</t>
        </is>
      </c>
      <c r="I4" s="11" t="inlineStr">
        <is>
          <t>التعديل أو الملاحظة</t>
        </is>
      </c>
    </row>
    <row r="5" ht="260" customHeight="1">
      <c r="A5" s="8" t="n">
        <v>1</v>
      </c>
      <c r="B5" s="8" t="inlineStr">
        <is>
          <t>ق-17</t>
        </is>
      </c>
      <c r="C5" s="5" t="inlineStr">
        <is>
          <t>ادعاء أن ترتيب آيات القرآن من فعل الصحابة.</t>
        </is>
      </c>
      <c r="D5" s="5" t="inlineStr">
        <is>
          <t>ما دام الصحابة قد رتبوا آيات القرآن؛ فهذا دليل على تحريفهم لآيات القرآن؛ كما يمكن بسبب ذلك وقوع الأخطاء فيه، والإدخال عليه.</t>
        </is>
      </c>
      <c r="E5" s="5"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F5" s="5" t="inlineStr">
        <is>
          <t>مقطع أساسي في مسألة خلافية: هل ترتيب السور توقيفي أم اجتهادي. الجملة الأولى تقطع بأن «ترتيب الآيات والسور كان وفق إرادة الله وحده»، ثم يذكر المقطع الخلاف في ترتيب السور ويرجّح قول الجمهور، ثم يفترض تدخل الصحابة. هذا قد يخالف الفحص 7 (لا قطع في مسألة خلافية).</t>
        </is>
      </c>
      <c r="G5" s="5" t="inlineStr">
        <is>
          <t>1) هل نسبة القول بالتوقيف في ترتيب السور إلى «جمهور العلماء» صحيحة؟
2) هل التعارض بين الجملة الأولى (القطع) وذكر الخلاف بعدها مقبول؟
3) اقتراح قص: يبدأ من «1) ترتيب الآيات…» وينتهي عند «…وهو مذهب جمهور العلماء.» هل توافق؟</t>
        </is>
      </c>
      <c r="H5" s="6" t="inlineStr">
        <is>
          <t>موافق</t>
        </is>
      </c>
      <c r="I5" s="6" t="inlineStr">
        <is>
          <t>وافق المختص الأعلم دون تعديل — 2026-10-04</t>
        </is>
      </c>
    </row>
    <row r="6" ht="260" customHeight="1">
      <c r="A6" s="8" t="n">
        <v>1</v>
      </c>
      <c r="B6" s="8" t="inlineStr">
        <is>
          <t>ق-23</t>
        </is>
      </c>
      <c r="C6" s="5" t="inlineStr">
        <is>
          <t>تحدى القرآن البشر أن يأتوا بمثله، مع وجود كلام في غاية البلاغة للبشر.</t>
        </is>
      </c>
      <c r="D6" s="5" t="inlineStr">
        <is>
          <t>تحدى القرآن البشر أن يأتوا بمثله، وقد رأينا في كلام كثير من الناس والشعراء غاية البلاغة؛ أفلا يستطيع هؤلاء أن يأتوا بمثل القرآن؟</t>
        </is>
      </c>
      <c r="E6" s="5"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F6" s="5" t="inlineStr">
        <is>
          <t>مقطع أساسي يجيب عن سؤال رسمي في المسابقة (التحدي وإعجاز القرآن). فيه آيتان مستشهد بهما، ويعدّد وجوه الإعجاز بصيغة قاطعة: «معجز في لفظه… في معانيه… في إخباره بالمغيبات… في تشريعه… في تأثيره على النفوس»، وفي عدّ بعضها (كالتشريع والتأثير) من وجوه الإعجاز المتحدّى بها خلافٌ بين أهل العلم. وفي العبارات المشابهة ذكر «القول بالصرفة».</t>
        </is>
      </c>
      <c r="G6" s="5" t="inlineStr">
        <is>
          <t>1) هل الاستشهاد بالآيتين (البقرة 24، فصلت 42) في موضعه؟
2) هل يُقبل تعداد وجوه الإعجاز بهذه الصيغة القاطعة لمبتدئ، أم يُقصّ المقطع؟
3) اقتراح بديل للقص: من «أما القرآن…» إلى «…[فصلت: 42]» (تُحذف فقرة المتنبي وفقرة التعداد). هل توافق على القص أم على النص كاملاً؟</t>
        </is>
      </c>
      <c r="H6" s="6" t="inlineStr">
        <is>
          <t>موافق</t>
        </is>
      </c>
      <c r="I6" s="6" t="inlineStr">
        <is>
          <t>وافق المختص الأعلم دون تعديل — 2026-10-04</t>
        </is>
      </c>
    </row>
    <row r="7" ht="260" customHeight="1">
      <c r="A7" s="8" t="n">
        <v>1</v>
      </c>
      <c r="B7" s="8" t="inlineStr">
        <is>
          <t>ق-24</t>
        </is>
      </c>
      <c r="C7" s="5" t="inlineStr">
        <is>
          <t>ادعاء أن القرآن مصدره البشر.</t>
        </is>
      </c>
      <c r="D7" s="5" t="inlineStr">
        <is>
          <t>لماذا لا يكون القرآن من وضع البشر، أو يكون من تأليف النبي ﷺ نفسه، وقد جاءت آية في القرآن تنص على ذلك: ﴿إنه لقول رسول كريم﴾ [الحاقة: 40]؟</t>
        </is>
      </c>
      <c r="E7" s="5"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F7" s="5" t="inlineStr">
        <is>
          <t>مقطع أساسي لسؤال رسمي: «هل القرآن من تأليف محمد ﷺ؟». البند 2 يذكر «الإعجاز العلمي» دليلاً، ونحن استبعدنا الإعجاز العلمي من نطاق المنتج ونمتنع عنه إن سُئل، فيظهر تعارض أمام السائل. البند 3 يذكر «عتاب النبي ﷺ في بعض الآيات» دون ذكرها، فقد يسأل المستخدم عنها ونحن لا نفسّر الآيات. والبند 1 يصف «عقلاء المشركين – من أهل الكتاب ومن غيرهم».</t>
        </is>
      </c>
      <c r="G7" s="5" t="inlineStr">
        <is>
          <t>1) هل البنود الأربعة صحيحة ومناسبة لمبتدئ غير مسلم؟
2) البند 2 (الإعجاز العلمي): نقبله كما هو عابراً، أم نقصّ المقطع إلى البندين 3 و4؟
3) هل وصف «عقلاء المشركين من أهل الكتاب» دقيق؟</t>
        </is>
      </c>
      <c r="H7" s="6" t="inlineStr">
        <is>
          <t>موافق</t>
        </is>
      </c>
      <c r="I7" s="6" t="inlineStr">
        <is>
          <t>وافق المختص الأعلم دون تعديل — 2026-10-04</t>
        </is>
      </c>
    </row>
    <row r="8" ht="260" customHeight="1">
      <c r="A8" s="8" t="n">
        <v>2</v>
      </c>
      <c r="B8" s="8" t="inlineStr">
        <is>
          <t>ق-13</t>
        </is>
      </c>
      <c r="C8" s="5" t="inlineStr">
        <is>
          <t>هل ضاع شيء من القرآن الذي سمعه الصحابة من النبي ﷺ؛ بسبب جمع عثمان للقرآن؟</t>
        </is>
      </c>
      <c r="D8" s="5" t="inlineStr">
        <is>
          <t>هل ضاع شيء من القرآن الذي سمعه الصحابة من النبي ﷺ؛ بسبب جمع عثمان للقرآن؟</t>
        </is>
      </c>
      <c r="E8" s="5"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F8" s="5" t="inlineStr">
        <is>
          <t>جمع عثمان رضي الله عنه موضوع تُبنى عليه شبهات التحريف وضياع شيء من القرآن. المقطع يذكر مصطلحات دقيقة للمبتدئ: «العرضة الأخيرة»، «ما نُسخت تلاوته»، «التواتر والآحاد»، «اختلاف قراءاتهم». وعبارات مثل «أُهملت روايات الآحاد» و«جميع من شهد الجمع شاركوا فيه» تحتاج تأكيد دقتها بإطلاقها.</t>
        </is>
      </c>
      <c r="G8" s="5" t="inlineStr">
        <is>
          <t>1) هل المزايا الخمس المذكورة دقيقة بإطلاقها؟
2) هل ذكر «نسخ التلاوة» و«اختلاف القراءات» لمبتدئ يفتح باباً أوسع مما نجيب عنه؟
3) نعرضه كاملاً، أم نكتفي بالفقرتين الأوليين (حتى «…وهذه مصلحة عظيمة»)؟</t>
        </is>
      </c>
      <c r="H8" s="6" t="inlineStr">
        <is>
          <t>موافق</t>
        </is>
      </c>
      <c r="I8" s="6" t="inlineStr">
        <is>
          <t>وافق المختص الأعلم دون تعديل — 2026-10-04</t>
        </is>
      </c>
    </row>
    <row r="9" ht="260" customHeight="1">
      <c r="A9" s="8" t="n">
        <v>2</v>
      </c>
      <c r="B9" s="8" t="inlineStr">
        <is>
          <t>ق-14</t>
        </is>
      </c>
      <c r="C9" s="5" t="inlineStr">
        <is>
          <t>ادعاء أن نقل الصحابة للقرآن نقل آحادي لا متواتر.</t>
        </is>
      </c>
      <c r="D9" s="5"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E9" s="5"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F9" s="5" t="inlineStr">
        <is>
          <t>يرد على رواية «جمع القرآن على عهد النبي ﷺ أربعة» دون أن يعرضها للقارئ، ويوجّه روايات الحصر (التمثيل لا الحصر، ذكر المتقدمين…)، ويذكر «الأحرف المختلفة» وهي خارج نطاقنا.</t>
        </is>
      </c>
      <c r="G9" s="5" t="inlineStr">
        <is>
          <t>1) هل توجيه روايات الحصر صحيح ومنضبط؟
2) هل يُفهم المقطع لمبتدئ لم يسمع بالرواية أصلاً؟
3) ذكر «الأحرف المختلفة» عابراً: مقبول أم يُستبعد المقطع؟</t>
        </is>
      </c>
      <c r="H9" s="6" t="inlineStr">
        <is>
          <t>موافق</t>
        </is>
      </c>
      <c r="I9" s="6" t="inlineStr">
        <is>
          <t>وافق المختص الأعلم دون تعديل — 2026-10-04</t>
        </is>
      </c>
    </row>
    <row r="10" ht="260" customHeight="1">
      <c r="A10" s="8" t="n">
        <v>2</v>
      </c>
      <c r="B10" s="8" t="inlineStr">
        <is>
          <t>ق-25</t>
        </is>
      </c>
      <c r="C10" s="5" t="inlineStr">
        <is>
          <t>ادعاء أن القرآن مصدره الكتب السابقة.</t>
        </is>
      </c>
      <c r="D10" s="5" t="inlineStr">
        <is>
          <t>مصدر القرآن لم يكن وحيا من الله تعالى، بل هو مقتبس من الكتب السابقة.</t>
        </is>
      </c>
      <c r="E10" s="5"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F10" s="5" t="inlineStr">
        <is>
          <t>مقارنة بين القرآن والكتب السابقة («العهد القديم»)، وهو موضوع حساس بين الأديان، وجمهورنا يشمل غير المسلمين. يبدأ بتعريف «الاقتباس» دون مصدر لهذا التعريف، ويقرر أن بين القصص «بوناً شاسعاً».</t>
        </is>
      </c>
      <c r="G10" s="5" t="inlineStr">
        <is>
          <t>1) هل الصياغة مناسبة لغير مسلم دون أن تكون جارحة؟
2) هل تعريف «الاقتباس» مقبول كما هو؟
3) نعرض البندين معاً، أم البند 2 وحده؟</t>
        </is>
      </c>
      <c r="H10" s="6" t="inlineStr">
        <is>
          <t>موافق</t>
        </is>
      </c>
      <c r="I10" s="6" t="inlineStr">
        <is>
          <t>وافق المختص الأعلم دون تعديل — 2026-10-04</t>
        </is>
      </c>
    </row>
    <row r="11" ht="260" customHeight="1">
      <c r="A11" s="8" t="n">
        <v>3</v>
      </c>
      <c r="B11" s="8" t="inlineStr">
        <is>
          <t>ق-26</t>
        </is>
      </c>
      <c r="C11" s="5" t="inlineStr">
        <is>
          <t>ادعاء أن القرآن وثيقة قديمة.</t>
        </is>
      </c>
      <c r="D11" s="5" t="inlineStr">
        <is>
          <t>يقال: إن محمدا وجد وثيقة قديمة، فقام بتعديلها، ثم سماها قرآنا.</t>
        </is>
      </c>
      <c r="E11" s="5"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F11" s="5" t="inlineStr">
        <is>
          <t>يصف القول المخالف بأنه «مجرد افتراء»، ويشير إلى «حادثة الإفك» دون سياق، ويذكر «الحقائق العلمية» ضمن الأدلة (والإعجاز العلمي خارج نطاقنا).</t>
        </is>
      </c>
      <c r="G11" s="5" t="inlineStr">
        <is>
          <t>1) هل الأسلوب مناسب لسائل غير مسلم؟
2) هل الإشارة إلى حادثة الإفك دون تمهيد مقبولة؟
3) يُنشر إضافياً أم يُستبعد؟</t>
        </is>
      </c>
      <c r="H11" s="6" t="inlineStr">
        <is>
          <t>موافق</t>
        </is>
      </c>
      <c r="I11" s="6" t="inlineStr">
        <is>
          <t>وافق المختص الأعلم دون تعديل — 2026-10-04</t>
        </is>
      </c>
    </row>
    <row r="12" ht="260" customHeight="1">
      <c r="A12" s="8" t="n">
        <v>3</v>
      </c>
      <c r="B12" s="8" t="inlineStr">
        <is>
          <t>ق-27</t>
        </is>
      </c>
      <c r="C12" s="5" t="inlineStr">
        <is>
          <t>ادعاء الاستطاعة بإيجاد مثل علوم القرآن ومعارفه لبعض النابغين ذوي المواهب من الناس.</t>
        </is>
      </c>
      <c r="D12" s="5" t="inlineStr">
        <is>
          <t>هل يصح القول بأن ما في القرآن من علوم ومعارف ما هي إلا آثار لمواهب بعض النابغين من الناس، وهذه المواهب وآثارها وجدت، ويمكن أن توجد في كل أمة؟</t>
        </is>
      </c>
      <c r="E12" s="5"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F12" s="5" t="inlineStr">
        <is>
          <t>يقرر أن المعجزات «من خصائص الربوبية»، وهي صياغة عقدية تحتاج إقراراً. ويذكر «الإعجاز العلمي» ضمن الأدلة، ويبدأ بعبارة «ينقض هذا الادعاء» التي تحيل إلى السؤال.</t>
        </is>
      </c>
      <c r="G12" s="5" t="inlineStr">
        <is>
          <t>1) هل عبارة «المعجزات من خصائص الربوبية» منضبطة عقدياً؟
2) الموقف من ذكر الإعجاز العلمي فيه؟
3) يُنشر إضافياً أم يُستبعد؟</t>
        </is>
      </c>
      <c r="H12" s="6" t="inlineStr">
        <is>
          <t>موافق</t>
        </is>
      </c>
      <c r="I12" s="6" t="inlineStr">
        <is>
          <t>وافق المختص الأعلم دون تعديل — 2026-10-04</t>
        </is>
      </c>
    </row>
    <row r="13" ht="260" customHeight="1">
      <c r="A13" s="8" t="n">
        <v>3</v>
      </c>
      <c r="B13" s="8" t="inlineStr">
        <is>
          <t>ق-30</t>
        </is>
      </c>
      <c r="C13" s="5" t="inlineStr">
        <is>
          <t>لماذا يكون الوحي بطرق خفية، ولا يأتي جبريل بصورته الحقيقية مبلغا الناس ما يريده؟</t>
        </is>
      </c>
      <c r="D13" s="5"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E13" s="5"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F13" s="5" t="inlineStr">
        <is>
          <t>يتناول كيفية الوحي ومجيء جبريل، وهي أمور غيبية. فيه مثال «أسواط من النار… وأطواق من الذهب» لبيان حكمة الابتلاء، وتقرير أن «عدم العلم بطريقة الشيء لا يستلزم عدم وقوعه».</t>
        </is>
      </c>
      <c r="G13" s="5" t="inlineStr">
        <is>
          <t>1) هل المثال المذكور مقبول، أم يحتاج مصدراً؟
2) هل التقرير العقدي منضبط؟
3) هل يناسب مبتدئاً يسأل «كيف نزل القرآن؟»</t>
        </is>
      </c>
      <c r="H13" s="6" t="inlineStr">
        <is>
          <t>موافق</t>
        </is>
      </c>
      <c r="I13" s="6" t="inlineStr">
        <is>
          <t>وافق المختص الأعلم دون تعديل — 2026-10-04</t>
        </is>
      </c>
    </row>
    <row r="14" ht="260" customHeight="1">
      <c r="A14" s="8" t="n">
        <v>3</v>
      </c>
      <c r="B14" s="8" t="inlineStr">
        <is>
          <t>ق-32</t>
        </is>
      </c>
      <c r="C14" s="5" t="inlineStr">
        <is>
          <t>هل القرآن الكريم يغني عن السنة النبوية؟</t>
        </is>
      </c>
      <c r="D14" s="5"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E14" s="5"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F14" s="5" t="inlineStr">
        <is>
          <t>حجية السنة مسألة أصولية عقدية. الأسلوب جدلي («اللوازم الفاسدة»، «قلة الأدب معه ﷺ»)، وقد يُفهم منه حكم على من ينكر السنة، وهذا يقترب من المستوى ج.</t>
        </is>
      </c>
      <c r="G14" s="5" t="inlineStr">
        <is>
          <t>1) هل المستوى «ب» صحيح، أم هو «ج» فلا يُنشر؟
2) هل الأسلوب مناسب لمبتدئ؟
3) يُنشر إضافياً أم يُستبعد؟</t>
        </is>
      </c>
      <c r="H14" s="6" t="inlineStr">
        <is>
          <t>موافق</t>
        </is>
      </c>
      <c r="I14" s="6" t="inlineStr">
        <is>
          <t>وافق المختص الأعلم دون تعديل — 2026-10-04</t>
        </is>
      </c>
    </row>
  </sheetData>
  <mergeCells count="1">
    <mergeCell ref="A2:I2"/>
  </mergeCells>
  <dataValidations count="1">
    <dataValidation sqref="H5:H14" showDropDown="0" showInputMessage="0" showErrorMessage="0" allowBlank="1" type="list">
      <formula1>"موافق,موافق بتعديل,غير موافق"</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ht="34" customHeight="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5" t="inlineStr">
        <is>
          <t>م-01</t>
        </is>
      </c>
      <c r="B2" s="6" t="inlineStr">
        <is>
          <t>بينات: أسئلة منتقاة حول الإسلام</t>
        </is>
      </c>
      <c r="C2" s="5" t="inlineStr">
        <is>
          <t>مركز أصول (1445هـ)</t>
        </is>
      </c>
      <c r="D2" s="6" t="inlineStr">
        <is>
          <t>https://dawa.center/file/7937</t>
        </is>
      </c>
      <c r="E2" s="5" t="inlineStr">
        <is>
          <t>معروضة</t>
        </is>
      </c>
      <c r="F2" s="6" t="inlineStr">
        <is>
          <t>نعم</t>
        </is>
      </c>
      <c r="G2" s="5" t="inlineStr">
        <is>
          <t>ح2 ح3 ح4 ح6 ح7 ح1</t>
        </is>
      </c>
    </row>
    <row r="3">
      <c r="A3" s="5" t="inlineStr">
        <is>
          <t>م-02</t>
        </is>
      </c>
      <c r="B3" s="6" t="inlineStr">
        <is>
          <t>الموسوعة العقدية — الباب الثاني: الإيمان بالقرآن</t>
        </is>
      </c>
      <c r="C3" s="5" t="inlineStr">
        <is>
          <t>الدرر السنية</t>
        </is>
      </c>
      <c r="D3" s="6" t="inlineStr">
        <is>
          <t>https://dorar.net/aqeeda/1361</t>
        </is>
      </c>
      <c r="E3" s="5" t="inlineStr">
        <is>
          <t>معروضة</t>
        </is>
      </c>
      <c r="F3" s="6" t="inlineStr">
        <is>
          <t>نعم</t>
        </is>
      </c>
      <c r="G3" s="5" t="inlineStr">
        <is>
          <t>ح1 ح3</t>
        </is>
      </c>
    </row>
    <row r="4">
      <c r="A4" s="5" t="inlineStr">
        <is>
          <t>م-03</t>
        </is>
      </c>
      <c r="B4" s="6" t="inlineStr">
        <is>
          <t>[كتاب مختصر في علوم القرآن — يُحدد]</t>
        </is>
      </c>
      <c r="C4" s="5" t="inlineStr">
        <is>
          <t>quranpedia.net</t>
        </is>
      </c>
      <c r="D4" s="6" t="inlineStr">
        <is>
          <t>[الرابط]</t>
        </is>
      </c>
      <c r="E4" s="5" t="inlineStr">
        <is>
          <t>معروضة</t>
        </is>
      </c>
      <c r="F4" s="6" t="inlineStr"/>
      <c r="G4" s="5" t="inlineStr">
        <is>
          <t>ح2 ح4</t>
        </is>
      </c>
    </row>
    <row r="5">
      <c r="A5" s="5" t="inlineStr">
        <is>
          <t>م-04</t>
        </is>
      </c>
      <c r="B5" s="6" t="inlineStr">
        <is>
          <t>[مادة للبدء بالقراءة والفهم — يُحدد]</t>
        </is>
      </c>
      <c r="C5" s="5" t="inlineStr">
        <is>
          <t>الدرر أو الجمهرة</t>
        </is>
      </c>
      <c r="D5" s="6" t="inlineStr">
        <is>
          <t>[الرابط]</t>
        </is>
      </c>
      <c r="E5" s="5" t="inlineStr">
        <is>
          <t>معروضة</t>
        </is>
      </c>
      <c r="F5" s="6" t="inlineStr"/>
      <c r="G5" s="5" t="inlineStr">
        <is>
          <t>ح5 ح6</t>
        </is>
      </c>
    </row>
    <row r="6">
      <c r="A6" s="5" t="inlineStr">
        <is>
          <t>ت-01</t>
        </is>
      </c>
      <c r="B6" s="6" t="inlineStr">
        <is>
          <t>مصحف مجمع الملك فهد (نص الآيات)</t>
        </is>
      </c>
      <c r="C6" s="5" t="inlineStr">
        <is>
          <t>مجمع الملك فهد</t>
        </is>
      </c>
      <c r="D6" s="6" t="inlineStr">
        <is>
          <t>https://quranpedia.net</t>
        </is>
      </c>
      <c r="E6" s="5" t="inlineStr">
        <is>
          <t>تحقق فقط</t>
        </is>
      </c>
      <c r="F6" s="6" t="inlineStr">
        <is>
          <t>نعم</t>
        </is>
      </c>
      <c r="G6" s="5" t="inlineStr">
        <is>
          <t>كل الحاجات</t>
        </is>
      </c>
    </row>
    <row r="7">
      <c r="A7" s="5" t="inlineStr">
        <is>
          <t>ت-02</t>
        </is>
      </c>
      <c r="B7" s="6" t="inlineStr">
        <is>
          <t>الموسوعة الحديثية</t>
        </is>
      </c>
      <c r="C7" s="5" t="inlineStr">
        <is>
          <t>الدرر السنية</t>
        </is>
      </c>
      <c r="D7" s="6" t="inlineStr">
        <is>
          <t>https://dorar.net/hadith</t>
        </is>
      </c>
      <c r="E7" s="5" t="inlineStr">
        <is>
          <t>تحقق فقط</t>
        </is>
      </c>
      <c r="F7" s="6" t="inlineStr">
        <is>
          <t>نعم</t>
        </is>
      </c>
      <c r="G7" s="5" t="inlineStr">
        <is>
          <t>كل الحاجات</t>
        </is>
      </c>
    </row>
  </sheetData>
  <dataValidations count="2">
    <dataValidation sqref="E2:E20" showDropDown="0" showInputMessage="0" showErrorMessage="0" allowBlank="1" type="list">
      <formula1>"معروضة,تحقق فقط"</formula1>
    </dataValidation>
    <dataValidation sqref="F2:F20" showDropDown="0" showInputMessage="0" showErrorMessage="0" allowBlank="1" type="list">
      <formula1>"نعم,لا"</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s>
  <sheetData>
    <row r="1" ht="34" customHeight="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قابل للنشر</t>
        </is>
      </c>
      <c r="I1" s="4" t="inlineStr">
        <is>
          <t>التغطية</t>
        </is>
      </c>
    </row>
    <row r="2">
      <c r="A2" s="5" t="inlineStr">
        <is>
          <t>ح1</t>
        </is>
      </c>
      <c r="B2" s="5" t="inlineStr">
        <is>
          <t>التعرّف إلى القرآن</t>
        </is>
      </c>
      <c r="C2" s="5" t="inlineStr">
        <is>
          <t>ما القرآن، وما مكانته في الإسلام؟</t>
        </is>
      </c>
      <c r="D2" s="5"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5" t="inlineStr">
        <is>
          <t>صفة الكلام العقدية التفصيلية · فضائل سور بعينها</t>
        </is>
      </c>
      <c r="F2" s="5" t="inlineStr">
        <is>
          <t>ح2 · ح5</t>
        </is>
      </c>
      <c r="G2" s="7">
        <f>COUNTIFS(المقاطع!$B$2:$B$60,A2,المقاطع!$C$2:$C$60,"أساسي")</f>
        <v/>
      </c>
      <c r="H2" s="7">
        <f>COUNTIFS(المقاطع!$B$2:$B$60,A2,المقاطع!$C$2:$C$60,"أساسي",المقاطع!$U$2:$U$60,"قابل للنشر")</f>
        <v/>
      </c>
      <c r="I2" s="7">
        <f>IF(H2=0,"لا تغطية",IF(H2&lt;G2,"جزئية","مكتملة"))</f>
        <v/>
      </c>
    </row>
    <row r="3">
      <c r="A3" s="5" t="inlineStr">
        <is>
          <t>ح5</t>
        </is>
      </c>
      <c r="B3" s="5" t="inlineStr">
        <is>
          <t>التعرّف إلى القرآن</t>
        </is>
      </c>
      <c r="C3" s="5" t="inlineStr">
        <is>
          <t>ما أبرز موضوعات القرآن ورسالته؟</t>
        </is>
      </c>
      <c r="D3" s="5"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5" t="inlineStr">
        <is>
          <t>تفسير آية بعينها · الأحكام التفصيلية · مقارنة الأديان التفصيلية · التفصيل في نبي بعينه</t>
        </is>
      </c>
      <c r="F3" s="5" t="inlineStr">
        <is>
          <t>ح6</t>
        </is>
      </c>
      <c r="G3" s="7">
        <f>COUNTIFS(المقاطع!$B$2:$B$60,A3,المقاطع!$C$2:$C$60,"أساسي")</f>
        <v/>
      </c>
      <c r="H3" s="7">
        <f>COUNTIFS(المقاطع!$B$2:$B$60,A3,المقاطع!$C$2:$C$60,"أساسي",المقاطع!$U$2:$U$60,"قابل للنشر")</f>
        <v/>
      </c>
      <c r="I3" s="7">
        <f>IF(H3=0,"لا تغطية",IF(H3&lt;G3,"جزئية","مكتملة"))</f>
        <v/>
      </c>
    </row>
    <row r="4">
      <c r="A4" s="5" t="inlineStr">
        <is>
          <t>ح2</t>
        </is>
      </c>
      <c r="B4" s="5" t="inlineStr">
        <is>
          <t>نزول القرآن وحفظه</t>
        </is>
      </c>
      <c r="C4" s="5" t="inlineStr">
        <is>
          <t>كيف نزل القرآن؟</t>
        </is>
      </c>
      <c r="D4" s="5" t="inlineStr">
        <is>
          <t>«كيف وصل القرآن لمحمد؟» · «هل نزل القرآن مرة وحدة؟» · «ما هو الوحي؟» · «كم سنة استمر نزول القرآن؟» · «ما أول آية نزلت؟» · «ما معنى سورة مكية ومدنية؟»</t>
        </is>
      </c>
      <c r="E4" s="5" t="inlineStr">
        <is>
          <t>أسباب نزول آيات بعينها · الناسخ والمنسوخ</t>
        </is>
      </c>
      <c r="F4" s="5" t="inlineStr">
        <is>
          <t>ح3</t>
        </is>
      </c>
      <c r="G4" s="7">
        <f>COUNTIFS(المقاطع!$B$2:$B$60,A4,المقاطع!$C$2:$C$60,"أساسي")</f>
        <v/>
      </c>
      <c r="H4" s="7">
        <f>COUNTIFS(المقاطع!$B$2:$B$60,A4,المقاطع!$C$2:$C$60,"أساسي",المقاطع!$U$2:$U$60,"قابل للنشر")</f>
        <v/>
      </c>
      <c r="I4" s="7">
        <f>IF(H4=0,"لا تغطية",IF(H4&lt;G4,"جزئية","مكتملة"))</f>
        <v/>
      </c>
    </row>
    <row r="5">
      <c r="A5" s="5" t="inlineStr">
        <is>
          <t>ح3</t>
        </is>
      </c>
      <c r="B5" s="5" t="inlineStr">
        <is>
          <t>نزول القرآن وحفظه</t>
        </is>
      </c>
      <c r="C5" s="5" t="inlineStr">
        <is>
          <t>كيف حُفظ القرآن وجُمع؟</t>
        </is>
      </c>
      <c r="D5" s="5"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5" t="inlineStr">
        <is>
          <t>القراءات واختلافها (قرار نطاق) · الروايات الجدلية في الجمع · المخطوطات وشبهات المستشرقين التفصيلية</t>
        </is>
      </c>
      <c r="F5" s="5" t="inlineStr">
        <is>
          <t>ح7 · ح4</t>
        </is>
      </c>
      <c r="G5" s="7">
        <f>COUNTIFS(المقاطع!$B$2:$B$60,A5,المقاطع!$C$2:$C$60,"أساسي")</f>
        <v/>
      </c>
      <c r="H5" s="7">
        <f>COUNTIFS(المقاطع!$B$2:$B$60,A5,المقاطع!$C$2:$C$60,"أساسي",المقاطع!$U$2:$U$60,"قابل للنشر")</f>
        <v/>
      </c>
      <c r="I5" s="7">
        <f>IF(H5=0,"لا تغطية",IF(H5&lt;G5,"جزئية","مكتملة"))</f>
        <v/>
      </c>
    </row>
    <row r="6">
      <c r="A6" s="5" t="inlineStr">
        <is>
          <t>ح4</t>
        </is>
      </c>
      <c r="B6" s="5" t="inlineStr">
        <is>
          <t>البدء بالقراءة والفهم</t>
        </is>
      </c>
      <c r="C6" s="5" t="inlineStr">
        <is>
          <t>كيف تُنظَّم السور والآيات؟ وكيف أصل إلى آية؟</t>
        </is>
      </c>
      <c r="D6" s="5" t="inlineStr">
        <is>
          <t>«كم عدد سور القرآن؟» · «ما الفرق بين السورة والآية؟» · «كيف أجد آية في المصحف؟» · «ما معنى جزء عمّ؟» · «ليش السور مو مرتبة حسب نزولها؟» · «كيف أعرف رقم الآية؟»</t>
        </is>
      </c>
      <c r="E6" s="5" t="inlineStr">
        <is>
          <t>الخلاف في عدّ الآيات · «الإعجاز العددي»</t>
        </is>
      </c>
      <c r="F6" s="5" t="inlineStr">
        <is>
          <t>ح6</t>
        </is>
      </c>
      <c r="G6" s="7">
        <f>COUNTIFS(المقاطع!$B$2:$B$60,A6,المقاطع!$C$2:$C$60,"أساسي")</f>
        <v/>
      </c>
      <c r="H6" s="7">
        <f>COUNTIFS(المقاطع!$B$2:$B$60,A6,المقاطع!$C$2:$C$60,"أساسي",المقاطع!$U$2:$U$60,"قابل للنشر")</f>
        <v/>
      </c>
      <c r="I6" s="7">
        <f>IF(H6=0,"لا تغطية",IF(H6&lt;G6,"جزئية","مكتملة"))</f>
        <v/>
      </c>
    </row>
    <row r="7">
      <c r="A7" s="5" t="inlineStr">
        <is>
          <t>ح6</t>
        </is>
      </c>
      <c r="B7" s="5" t="inlineStr">
        <is>
          <t>البدء بالقراءة والفهم</t>
        </is>
      </c>
      <c r="C7" s="5" t="inlineStr">
        <is>
          <t>كيف أبدأ قراءة القرآن وفهم معانيه؟</t>
        </is>
      </c>
      <c r="D7" s="5"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5" t="inlineStr">
        <is>
          <t>أحكام التجويد التفصيلية · أحكام لمس المصحف وقراءة أصحاب الأعذار (فتوى) · تفسير آية بعينها</t>
        </is>
      </c>
      <c r="F7" s="5" t="inlineStr">
        <is>
          <t>ح5</t>
        </is>
      </c>
      <c r="G7" s="7">
        <f>COUNTIFS(المقاطع!$B$2:$B$60,A7,المقاطع!$C$2:$C$60,"أساسي")</f>
        <v/>
      </c>
      <c r="H7" s="7">
        <f>COUNTIFS(المقاطع!$B$2:$B$60,A7,المقاطع!$C$2:$C$60,"أساسي",المقاطع!$U$2:$U$60,"قابل للنشر")</f>
        <v/>
      </c>
      <c r="I7" s="7">
        <f>IF(H7=0,"لا تغطية",IF(H7&lt;G7,"جزئية","مكتملة"))</f>
        <v/>
      </c>
    </row>
    <row r="8">
      <c r="A8" s="5" t="inlineStr">
        <is>
          <t>ح7</t>
        </is>
      </c>
      <c r="B8" s="5" t="inlineStr">
        <is>
          <t>أسئلة عن مصدر القرآن</t>
        </is>
      </c>
      <c r="C8" s="5" t="inlineStr">
        <is>
          <t>لماذا يؤمن المسلمون أن القرآن من الله؟</t>
        </is>
      </c>
      <c r="D8" s="5"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5" t="inlineStr">
        <is>
          <t>«الإعجاز العلمي» (قرار نطاق) · الردود التفصيلية على المستشرقين</t>
        </is>
      </c>
      <c r="F8" s="5" t="inlineStr">
        <is>
          <t>ح3 · ح1</t>
        </is>
      </c>
      <c r="G8" s="7">
        <f>COUNTIFS(المقاطع!$B$2:$B$60,A8,المقاطع!$C$2:$C$60,"أساسي")</f>
        <v/>
      </c>
      <c r="H8" s="7">
        <f>COUNTIFS(المقاطع!$B$2:$B$60,A8,المقاطع!$C$2:$C$60,"أساسي",المقاطع!$U$2:$U$60,"قابل للنشر")</f>
        <v/>
      </c>
      <c r="I8" s="7">
        <f>IF(H8=0,"لا تغطية",IF(H8&lt;G8,"جزئية","مكتملة"))</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7" customWidth="1" min="2" max="2"/>
    <col width="9" customWidth="1" min="3" max="3"/>
    <col width="7" customWidth="1" min="4" max="4"/>
    <col width="24" customWidth="1" min="5" max="5"/>
    <col width="30" customWidth="1" min="6" max="6"/>
    <col width="40" customWidth="1" min="7" max="7"/>
    <col width="30" customWidth="1" min="8" max="8"/>
    <col width="36" customWidth="1" min="9" max="9"/>
    <col width="80" customWidth="1" min="10" max="10"/>
    <col width="36" customWidth="1" min="11" max="11"/>
    <col width="36" customWidth="1" min="12" max="12"/>
    <col width="7" customWidth="1" min="13" max="13"/>
    <col width="7" customWidth="1" min="14" max="14"/>
    <col width="30" customWidth="1" min="15" max="15"/>
    <col width="10" customWidth="1" min="16" max="16"/>
    <col width="16" customWidth="1" min="17" max="17"/>
    <col width="14" customWidth="1" min="18" max="18"/>
    <col width="12" customWidth="1" min="19" max="19"/>
    <col width="34" customWidth="1" min="20" max="20"/>
    <col width="18" customWidth="1" min="21" max="21"/>
    <col width="50" customWidth="1" min="22" max="22"/>
  </cols>
  <sheetData>
    <row r="1" ht="34" customHeight="1">
      <c r="A1" s="4" t="inlineStr">
        <is>
          <t>رقم المقطع</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الجواب المعتمد (النص الحرفي)</t>
        </is>
      </c>
      <c r="K1" s="4" t="inlineStr">
        <is>
          <t>يجيب هذا المقطع عن</t>
        </is>
      </c>
      <c r="L1" s="4" t="inlineStr">
        <is>
          <t>صياغات المستخدم</t>
        </is>
      </c>
      <c r="M1" s="4" t="inlineStr">
        <is>
          <t>المستوى</t>
        </is>
      </c>
      <c r="N1" s="4" t="inlineStr">
        <is>
          <t>حساس؟</t>
        </is>
      </c>
      <c r="O1" s="4" t="inlineStr">
        <is>
          <t>آيات وأحاديث تحتاج توثيقاً</t>
        </is>
      </c>
      <c r="P1" s="4" t="inlineStr">
        <is>
          <t>اجتاز الفحوص السبعة؟</t>
        </is>
      </c>
      <c r="Q1" s="4" t="inlineStr">
        <is>
          <t>المراجع والتاريخ</t>
        </is>
      </c>
      <c r="R1" s="4" t="inlineStr">
        <is>
          <t>رأي المختص الأعلم</t>
        </is>
      </c>
      <c r="S1" s="4" t="inlineStr">
        <is>
          <t>الحالة</t>
        </is>
      </c>
      <c r="T1" s="4" t="inlineStr">
        <is>
          <t>ملاحظات</t>
        </is>
      </c>
      <c r="U1" s="4" t="inlineStr">
        <is>
          <t>صلاحية النشر</t>
        </is>
      </c>
      <c r="V1" s="4" t="inlineStr">
        <is>
          <t>لماذا هو حساس؟ (التفصيل في ورقة «للمختص»)</t>
        </is>
      </c>
    </row>
    <row r="2" ht="30" customHeight="1">
      <c r="A2" s="8" t="inlineStr">
        <is>
          <t>ق-01</t>
        </is>
      </c>
      <c r="B2" s="5" t="inlineStr">
        <is>
          <t>ح1</t>
        </is>
      </c>
      <c r="C2" s="5" t="inlineStr">
        <is>
          <t>أساسي</t>
        </is>
      </c>
      <c r="D2" s="6" t="inlineStr">
        <is>
          <t>م-02</t>
        </is>
      </c>
      <c r="E2" s="6" t="inlineStr">
        <is>
          <t>الدرر 1363 / 1365</t>
        </is>
      </c>
      <c r="F2" s="5" t="inlineStr"/>
      <c r="G2" s="5" t="inlineStr"/>
      <c r="H2" s="5" t="inlineStr"/>
      <c r="I2" s="5" t="inlineStr"/>
      <c r="J2" s="6" t="inlineStr"/>
      <c r="K2" s="6" t="inlineStr">
        <is>
          <t>تعريف القرآن</t>
        </is>
      </c>
      <c r="L2" s="6" t="inlineStr"/>
      <c r="M2" s="6" t="inlineStr"/>
      <c r="N2" s="6" t="inlineStr"/>
      <c r="O2" s="6" t="inlineStr"/>
      <c r="P2" s="6" t="inlineStr"/>
      <c r="Q2" s="6" t="inlineStr"/>
      <c r="R2" s="6" t="inlineStr"/>
      <c r="S2" s="6" t="inlineStr">
        <is>
          <t>لم يُستخرج</t>
        </is>
      </c>
      <c r="T2" s="6" t="inlineStr"/>
      <c r="U2" s="9">
        <f>IF(A2="","",IF(J2="","لم يُستخرج بعد",IF(OR(M2="ج",M2="د"),"المستوى لا يُنشر",IF(OR(IFERROR(INDEX(المصادر!$E$2:$E$20,MATCH(D2,المصادر!$A$2:$A$20,0)),"")&lt;&gt;"معروضة",IFERROR(INDEX(المصادر!$F$2:$F$20,MATCH(D2,المصادر!$A$2:$A$20,0)),"")&lt;&gt;"نعم"),"المصدر غير معتمد",IF(OR(B2="",E2="",K2="",M2="",N2=""),"بيانات ناقصة",IF(P2&lt;&gt;"نعم","لم يجتز الفحوص",IF(Q2="","المراجعة غير موثقة",IF(AND(N2="نعم",R2="موافق بتعديل"),"بانتظار تنفيذ التعديل",IF(AND(N2="نعم",R2&lt;&gt;"موافق"),"بانتظار رأي المختص",IF(S2&lt;&gt;"معتمد","لم يُعتمد","قابل للنشر"))))))))))</f>
        <v/>
      </c>
    </row>
    <row r="3" ht="30" customHeight="1">
      <c r="A3" s="8" t="inlineStr">
        <is>
          <t>ق-02</t>
        </is>
      </c>
      <c r="B3" s="5" t="inlineStr">
        <is>
          <t>ح1</t>
        </is>
      </c>
      <c r="C3" s="5" t="inlineStr">
        <is>
          <t>أساسي</t>
        </is>
      </c>
      <c r="D3" s="6" t="inlineStr">
        <is>
          <t>م-02</t>
        </is>
      </c>
      <c r="E3" s="6" t="inlineStr">
        <is>
          <t>الدرر 1375</t>
        </is>
      </c>
      <c r="F3" s="5" t="inlineStr"/>
      <c r="G3" s="5" t="inlineStr"/>
      <c r="H3" s="5" t="inlineStr"/>
      <c r="I3" s="5" t="inlineStr"/>
      <c r="J3" s="6" t="inlineStr"/>
      <c r="K3" s="6" t="inlineStr">
        <is>
          <t>مكانة القرآن وفضله</t>
        </is>
      </c>
      <c r="L3" s="6" t="inlineStr"/>
      <c r="M3" s="6" t="inlineStr"/>
      <c r="N3" s="6" t="inlineStr"/>
      <c r="O3" s="6" t="inlineStr"/>
      <c r="P3" s="6" t="inlineStr"/>
      <c r="Q3" s="6" t="inlineStr"/>
      <c r="R3" s="6" t="inlineStr"/>
      <c r="S3" s="6" t="inlineStr">
        <is>
          <t>لم يُستخرج</t>
        </is>
      </c>
      <c r="T3" s="6" t="inlineStr"/>
      <c r="U3" s="9">
        <f>IF(A3="","",IF(J3="","لم يُستخرج بعد",IF(OR(M3="ج",M3="د"),"المستوى لا يُنشر",IF(OR(IFERROR(INDEX(المصادر!$E$2:$E$20,MATCH(D3,المصادر!$A$2:$A$20,0)),"")&lt;&gt;"معروضة",IFERROR(INDEX(المصادر!$F$2:$F$20,MATCH(D3,المصادر!$A$2:$A$20,0)),"")&lt;&gt;"نعم"),"المصدر غير معتمد",IF(OR(B3="",E3="",K3="",M3="",N3=""),"بيانات ناقصة",IF(P3&lt;&gt;"نعم","لم يجتز الفحوص",IF(Q3="","المراجعة غير موثقة",IF(AND(N3="نعم",R3="موافق بتعديل"),"بانتظار تنفيذ التعديل",IF(AND(N3="نعم",R3&lt;&gt;"موافق"),"بانتظار رأي المختص",IF(S3&lt;&gt;"معتمد","لم يُعتمد","قابل للنشر"))))))))))</f>
        <v/>
      </c>
    </row>
    <row r="4" ht="30" customHeight="1">
      <c r="A4" s="8" t="inlineStr">
        <is>
          <t>ق-03</t>
        </is>
      </c>
      <c r="B4" s="5" t="inlineStr">
        <is>
          <t>ح1</t>
        </is>
      </c>
      <c r="C4" s="5" t="inlineStr">
        <is>
          <t>أساسي</t>
        </is>
      </c>
      <c r="D4" s="6" t="inlineStr">
        <is>
          <t>م-02</t>
        </is>
      </c>
      <c r="E4" s="6" t="inlineStr">
        <is>
          <t>الدرر 1392</t>
        </is>
      </c>
      <c r="F4" s="5" t="inlineStr"/>
      <c r="G4" s="5" t="inlineStr"/>
      <c r="H4" s="5" t="inlineStr"/>
      <c r="I4" s="5" t="inlineStr"/>
      <c r="J4" s="6" t="inlineStr"/>
      <c r="K4" s="6" t="inlineStr">
        <is>
          <t>خصائص القرآن: مصدّق لما قبله ومهيمن عليه</t>
        </is>
      </c>
      <c r="L4" s="6" t="inlineStr"/>
      <c r="M4" s="6" t="inlineStr"/>
      <c r="N4" s="6" t="inlineStr"/>
      <c r="O4" s="6" t="inlineStr"/>
      <c r="P4" s="6" t="inlineStr"/>
      <c r="Q4" s="6" t="inlineStr"/>
      <c r="R4" s="6" t="inlineStr"/>
      <c r="S4" s="6" t="inlineStr">
        <is>
          <t>لم يُستخرج</t>
        </is>
      </c>
      <c r="T4" s="6" t="inlineStr"/>
      <c r="U4" s="9">
        <f>IF(A4="","",IF(J4="","لم يُستخرج بعد",IF(OR(M4="ج",M4="د"),"المستوى لا يُنشر",IF(OR(IFERROR(INDEX(المصادر!$E$2:$E$20,MATCH(D4,المصادر!$A$2:$A$20,0)),"")&lt;&gt;"معروضة",IFERROR(INDEX(المصادر!$F$2:$F$20,MATCH(D4,المصادر!$A$2:$A$20,0)),"")&lt;&gt;"نعم"),"المصدر غير معتمد",IF(OR(B4="",E4="",K4="",M4="",N4=""),"بيانات ناقصة",IF(P4&lt;&gt;"نعم","لم يجتز الفحوص",IF(Q4="","المراجعة غير موثقة",IF(AND(N4="نعم",R4="موافق بتعديل"),"بانتظار تنفيذ التعديل",IF(AND(N4="نعم",R4&lt;&gt;"موافق"),"بانتظار رأي المختص",IF(S4&lt;&gt;"معتمد","لم يُعتمد","قابل للنشر"))))))))))</f>
        <v/>
      </c>
    </row>
    <row r="5" ht="120" customHeight="1">
      <c r="A5" s="8" t="inlineStr">
        <is>
          <t>ق-32</t>
        </is>
      </c>
      <c r="B5" s="5" t="inlineStr">
        <is>
          <t>ح1</t>
        </is>
      </c>
      <c r="C5" s="5" t="inlineStr">
        <is>
          <t>إضافي</t>
        </is>
      </c>
      <c r="D5" s="6" t="inlineStr">
        <is>
          <t>م-01</t>
        </is>
      </c>
      <c r="E5" s="6" t="inlineStr">
        <is>
          <t>المسألة (119)، ص545–ص546 — مختصر الإجابة</t>
        </is>
      </c>
      <c r="F5" s="5" t="inlineStr">
        <is>
          <t>هل القرآن الكريم يغني عن السنة النبوية؟</t>
        </is>
      </c>
      <c r="G5" s="5"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5" s="5" t="inlineStr">
        <is>
          <t>هل صحيح أن الدين يؤخذ من القرآن، وأما السنة النبوية، فاجتهادات شخصية؟</t>
        </is>
      </c>
      <c r="I5" s="5"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5"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5" s="6" t="inlineStr">
        <is>
          <t>يبين أن السنة النبوية حجة، وأنها مصدر لتبيين معاني القرآن لا يُستغنى عنه.</t>
        </is>
      </c>
      <c r="L5" s="6" t="inlineStr">
        <is>
          <t>هل يكفي القرآن وحده؟ | ما علاقة الحديث بالقرآن؟</t>
        </is>
      </c>
      <c r="M5" s="6" t="inlineStr">
        <is>
          <t>ب</t>
        </is>
      </c>
      <c r="N5" s="6" t="inlineStr">
        <is>
          <t>نعم</t>
        </is>
      </c>
      <c r="O5" s="6" t="inlineStr">
        <is>
          <t>لا يوجد في المختصر (آيتان في نص السؤال); آية في السؤال المصدري</t>
        </is>
      </c>
      <c r="P5" s="6" t="inlineStr">
        <is>
          <t>نعم</t>
        </is>
      </c>
      <c r="Q5" s="6" t="inlineStr">
        <is>
          <t>محمد — 2026-10-04</t>
        </is>
      </c>
      <c r="R5" s="6">
        <f>IF(للمختص!H14="","",للمختص!H14)</f>
        <v/>
      </c>
      <c r="S5" s="6" t="inlineStr">
        <is>
          <t>معتمد</t>
        </is>
      </c>
      <c r="T5" s="6" t="inlineStr">
        <is>
          <t>أسلوب جدلي؛ لا يعرّف الحديث. ق-04 يبقى بحاجة إلى مقطع تعريفي.</t>
        </is>
      </c>
      <c r="U5" s="9">
        <f>IF(A5="","",IF(J5="","لم يُستخرج بعد",IF(OR(M5="ج",M5="د"),"المستوى لا يُنشر",IF(OR(IFERROR(INDEX(المصادر!$E$2:$E$20,MATCH(D5,المصادر!$A$2:$A$20,0)),"")&lt;&gt;"معروضة",IFERROR(INDEX(المصادر!$F$2:$F$20,MATCH(D5,المصادر!$A$2:$A$20,0)),"")&lt;&gt;"نعم"),"المصدر غير معتمد",IF(OR(B5="",E5="",K5="",M5="",N5=""),"بيانات ناقصة",IF(P5&lt;&gt;"نعم","لم يجتز الفحوص",IF(Q5="","المراجعة غير موثقة",IF(AND(N5="نعم",R5="موافق بتعديل"),"بانتظار تنفيذ التعديل",IF(AND(N5="نعم",R5&lt;&gt;"موافق"),"بانتظار رأي المختص",IF(S5&lt;&gt;"معتمد","لم يُعتمد","قابل للنشر"))))))))))</f>
        <v/>
      </c>
      <c r="V5" s="5" t="inlineStr">
        <is>
          <t>حجية السنة مسألة أصولية عقدية. الأسلوب جدلي («اللوازم الفاسدة»، «قلة الأدب معه ﷺ»)، وقد يُفهم منه حكم على من ينكر السنة، وهذا يقترب من المستوى ج.</t>
        </is>
      </c>
    </row>
    <row r="6" ht="30" customHeight="1">
      <c r="A6" s="8" t="inlineStr">
        <is>
          <t>ق-05</t>
        </is>
      </c>
      <c r="B6" s="5" t="inlineStr">
        <is>
          <t>ح5</t>
        </is>
      </c>
      <c r="C6" s="5" t="inlineStr">
        <is>
          <t>أساسي</t>
        </is>
      </c>
      <c r="D6" s="6" t="inlineStr">
        <is>
          <t>م-04</t>
        </is>
      </c>
      <c r="E6" s="6" t="inlineStr"/>
      <c r="F6" s="5" t="inlineStr"/>
      <c r="G6" s="5" t="inlineStr"/>
      <c r="H6" s="5" t="inlineStr"/>
      <c r="I6" s="5" t="inlineStr"/>
      <c r="J6" s="6" t="inlineStr"/>
      <c r="K6" s="6" t="inlineStr">
        <is>
          <t>التوحيد وعبادة الله: الرسالة المحورية للقرآن</t>
        </is>
      </c>
      <c r="L6" s="6" t="inlineStr"/>
      <c r="M6" s="6" t="inlineStr"/>
      <c r="N6" s="6" t="inlineStr"/>
      <c r="O6" s="6" t="inlineStr"/>
      <c r="P6" s="6" t="inlineStr"/>
      <c r="Q6" s="6" t="inlineStr"/>
      <c r="R6" s="6" t="inlineStr"/>
      <c r="S6" s="6" t="inlineStr">
        <is>
          <t>لم يُستخرج</t>
        </is>
      </c>
      <c r="T6" s="6" t="inlineStr"/>
      <c r="U6" s="9">
        <f>IF(A6="","",IF(J6="","لم يُستخرج بعد",IF(OR(M6="ج",M6="د"),"المستوى لا يُنشر",IF(OR(IFERROR(INDEX(المصادر!$E$2:$E$20,MATCH(D6,المصادر!$A$2:$A$20,0)),"")&lt;&gt;"معروضة",IFERROR(INDEX(المصادر!$F$2:$F$20,MATCH(D6,المصادر!$A$2:$A$20,0)),"")&lt;&gt;"نعم"),"المصدر غير معتمد",IF(OR(B6="",E6="",K6="",M6="",N6=""),"بيانات ناقصة",IF(P6&lt;&gt;"نعم","لم يجتز الفحوص",IF(Q6="","المراجعة غير موثقة",IF(AND(N6="نعم",R6="موافق بتعديل"),"بانتظار تنفيذ التعديل",IF(AND(N6="نعم",R6&lt;&gt;"موافق"),"بانتظار رأي المختص",IF(S6&lt;&gt;"معتمد","لم يُعتمد","قابل للنشر"))))))))))</f>
        <v/>
      </c>
    </row>
    <row r="7" ht="30" customHeight="1">
      <c r="A7" s="8" t="inlineStr">
        <is>
          <t>ق-06</t>
        </is>
      </c>
      <c r="B7" s="5" t="inlineStr">
        <is>
          <t>ح5</t>
        </is>
      </c>
      <c r="C7" s="5" t="inlineStr">
        <is>
          <t>أساسي</t>
        </is>
      </c>
      <c r="D7" s="6" t="inlineStr">
        <is>
          <t>م-04</t>
        </is>
      </c>
      <c r="E7" s="6" t="inlineStr"/>
      <c r="F7" s="5" t="inlineStr"/>
      <c r="G7" s="5" t="inlineStr"/>
      <c r="H7" s="5" t="inlineStr"/>
      <c r="I7" s="5" t="inlineStr"/>
      <c r="J7" s="6" t="inlineStr"/>
      <c r="K7" s="6" t="inlineStr">
        <is>
          <t>الأنبياء وقصصهم في القرآن</t>
        </is>
      </c>
      <c r="L7" s="6" t="inlineStr"/>
      <c r="M7" s="6" t="inlineStr"/>
      <c r="N7" s="6" t="inlineStr"/>
      <c r="O7" s="6" t="inlineStr"/>
      <c r="P7" s="6" t="inlineStr"/>
      <c r="Q7" s="6" t="inlineStr"/>
      <c r="R7" s="6" t="inlineStr"/>
      <c r="S7" s="6" t="inlineStr">
        <is>
          <t>لم يُستخرج</t>
        </is>
      </c>
      <c r="T7" s="6" t="inlineStr"/>
      <c r="U7" s="9">
        <f>IF(A7="","",IF(J7="","لم يُستخرج بعد",IF(OR(M7="ج",M7="د"),"المستوى لا يُنشر",IF(OR(IFERROR(INDEX(المصادر!$E$2:$E$20,MATCH(D7,المصادر!$A$2:$A$20,0)),"")&lt;&gt;"معروضة",IFERROR(INDEX(المصادر!$F$2:$F$20,MATCH(D7,المصادر!$A$2:$A$20,0)),"")&lt;&gt;"نعم"),"المصدر غير معتمد",IF(OR(B7="",E7="",K7="",M7="",N7=""),"بيانات ناقصة",IF(P7&lt;&gt;"نعم","لم يجتز الفحوص",IF(Q7="","المراجعة غير موثقة",IF(AND(N7="نعم",R7="موافق بتعديل"),"بانتظار تنفيذ التعديل",IF(AND(N7="نعم",R7&lt;&gt;"موافق"),"بانتظار رأي المختص",IF(S7&lt;&gt;"معتمد","لم يُعتمد","قابل للنشر"))))))))))</f>
        <v/>
      </c>
    </row>
    <row r="8" ht="30" customHeight="1">
      <c r="A8" s="8" t="inlineStr">
        <is>
          <t>ق-07</t>
        </is>
      </c>
      <c r="B8" s="5" t="inlineStr">
        <is>
          <t>ح5</t>
        </is>
      </c>
      <c r="C8" s="5" t="inlineStr">
        <is>
          <t>أساسي</t>
        </is>
      </c>
      <c r="D8" s="6" t="inlineStr">
        <is>
          <t>م-04</t>
        </is>
      </c>
      <c r="E8" s="6" t="inlineStr"/>
      <c r="F8" s="5" t="inlineStr"/>
      <c r="G8" s="5" t="inlineStr"/>
      <c r="H8" s="5" t="inlineStr"/>
      <c r="I8" s="5" t="inlineStr"/>
      <c r="J8" s="6" t="inlineStr"/>
      <c r="K8" s="6" t="inlineStr">
        <is>
          <t>اليوم الآخر والقيم في القرآن إجمالاً</t>
        </is>
      </c>
      <c r="L8" s="6" t="inlineStr"/>
      <c r="M8" s="6" t="inlineStr"/>
      <c r="N8" s="6" t="inlineStr"/>
      <c r="O8" s="6" t="inlineStr"/>
      <c r="P8" s="6" t="inlineStr"/>
      <c r="Q8" s="6" t="inlineStr"/>
      <c r="R8" s="6" t="inlineStr"/>
      <c r="S8" s="6" t="inlineStr">
        <is>
          <t>لم يُستخرج</t>
        </is>
      </c>
      <c r="T8" s="6" t="inlineStr"/>
      <c r="U8" s="9">
        <f>IF(A8="","",IF(J8="","لم يُستخرج بعد",IF(OR(M8="ج",M8="د"),"المستوى لا يُنشر",IF(OR(IFERROR(INDEX(المصادر!$E$2:$E$20,MATCH(D8,المصادر!$A$2:$A$20,0)),"")&lt;&gt;"معروضة",IFERROR(INDEX(المصادر!$F$2:$F$20,MATCH(D8,المصادر!$A$2:$A$20,0)),"")&lt;&gt;"نعم"),"المصدر غير معتمد",IF(OR(B8="",E8="",K8="",M8="",N8=""),"بيانات ناقصة",IF(P8&lt;&gt;"نعم","لم يجتز الفحوص",IF(Q8="","المراجعة غير موثقة",IF(AND(N8="نعم",R8="موافق بتعديل"),"بانتظار تنفيذ التعديل",IF(AND(N8="نعم",R8&lt;&gt;"موافق"),"بانتظار رأي المختص",IF(S8&lt;&gt;"معتمد","لم يُعتمد","قابل للنشر"))))))))))</f>
        <v/>
      </c>
    </row>
    <row r="9" ht="30" customHeight="1">
      <c r="A9" s="8" t="inlineStr">
        <is>
          <t>ق-08</t>
        </is>
      </c>
      <c r="B9" s="5" t="inlineStr">
        <is>
          <t>ح2</t>
        </is>
      </c>
      <c r="C9" s="5" t="inlineStr">
        <is>
          <t>أساسي</t>
        </is>
      </c>
      <c r="D9" s="6" t="inlineStr">
        <is>
          <t>م-03</t>
        </is>
      </c>
      <c r="E9" s="6" t="inlineStr"/>
      <c r="F9" s="5" t="inlineStr"/>
      <c r="G9" s="5" t="inlineStr"/>
      <c r="H9" s="5" t="inlineStr"/>
      <c r="I9" s="5" t="inlineStr"/>
      <c r="J9" s="6" t="inlineStr"/>
      <c r="K9" s="6" t="inlineStr">
        <is>
          <t>الوحي: كيف كان يأتي النبي ﷺ</t>
        </is>
      </c>
      <c r="L9" s="6" t="inlineStr"/>
      <c r="M9" s="6" t="inlineStr"/>
      <c r="N9" s="6" t="inlineStr"/>
      <c r="O9" s="6" t="inlineStr"/>
      <c r="P9" s="6" t="inlineStr"/>
      <c r="Q9" s="6" t="inlineStr"/>
      <c r="R9" s="6" t="inlineStr"/>
      <c r="S9" s="6" t="inlineStr">
        <is>
          <t>لم يُستخرج</t>
        </is>
      </c>
      <c r="T9" s="6" t="inlineStr"/>
      <c r="U9" s="9">
        <f>IF(A9="","",IF(J9="","لم يُستخرج بعد",IF(OR(M9="ج",M9="د"),"المستوى لا يُنشر",IF(OR(IFERROR(INDEX(المصادر!$E$2:$E$20,MATCH(D9,المصادر!$A$2:$A$20,0)),"")&lt;&gt;"معروضة",IFERROR(INDEX(المصادر!$F$2:$F$20,MATCH(D9,المصادر!$A$2:$A$20,0)),"")&lt;&gt;"نعم"),"المصدر غير معتمد",IF(OR(B9="",E9="",K9="",M9="",N9=""),"بيانات ناقصة",IF(P9&lt;&gt;"نعم","لم يجتز الفحوص",IF(Q9="","المراجعة غير موثقة",IF(AND(N9="نعم",R9="موافق بتعديل"),"بانتظار تنفيذ التعديل",IF(AND(N9="نعم",R9&lt;&gt;"موافق"),"بانتظار رأي المختص",IF(S9&lt;&gt;"معتمد","لم يُعتمد","قابل للنشر"))))))))))</f>
        <v/>
      </c>
    </row>
    <row r="10" ht="30" customHeight="1">
      <c r="A10" s="8" t="inlineStr">
        <is>
          <t>ق-09</t>
        </is>
      </c>
      <c r="B10" s="5" t="inlineStr">
        <is>
          <t>ح2</t>
        </is>
      </c>
      <c r="C10" s="5" t="inlineStr">
        <is>
          <t>أساسي</t>
        </is>
      </c>
      <c r="D10" s="6" t="inlineStr">
        <is>
          <t>م-03</t>
        </is>
      </c>
      <c r="E10" s="6" t="inlineStr"/>
      <c r="F10" s="5" t="inlineStr"/>
      <c r="G10" s="5" t="inlineStr"/>
      <c r="H10" s="5" t="inlineStr"/>
      <c r="I10" s="5" t="inlineStr"/>
      <c r="J10" s="6" t="inlineStr"/>
      <c r="K10" s="6" t="inlineStr">
        <is>
          <t>بداية نزول القرآن ونزوله مفرّقاً</t>
        </is>
      </c>
      <c r="L10" s="6" t="inlineStr"/>
      <c r="M10" s="6" t="inlineStr"/>
      <c r="N10" s="6" t="inlineStr"/>
      <c r="O10" s="6" t="inlineStr"/>
      <c r="P10" s="6" t="inlineStr"/>
      <c r="Q10" s="6" t="inlineStr"/>
      <c r="R10" s="6" t="inlineStr"/>
      <c r="S10" s="6" t="inlineStr">
        <is>
          <t>لم يُستخرج</t>
        </is>
      </c>
      <c r="T10" s="6" t="inlineStr"/>
      <c r="U10" s="9">
        <f>IF(A10="","",IF(J10="","لم يُستخرج بعد",IF(OR(M10="ج",M10="د"),"المستوى لا يُنشر",IF(OR(IFERROR(INDEX(المصادر!$E$2:$E$20,MATCH(D10,المصادر!$A$2:$A$20,0)),"")&lt;&gt;"معروضة",IFERROR(INDEX(المصادر!$F$2:$F$20,MATCH(D10,المصادر!$A$2:$A$20,0)),"")&lt;&gt;"نعم"),"المصدر غير معتمد",IF(OR(B10="",E10="",K10="",M10="",N10=""),"بيانات ناقصة",IF(P10&lt;&gt;"نعم","لم يجتز الفحوص",IF(Q10="","المراجعة غير موثقة",IF(AND(N10="نعم",R10="موافق بتعديل"),"بانتظار تنفيذ التعديل",IF(AND(N10="نعم",R10&lt;&gt;"موافق"),"بانتظار رأي المختص",IF(S10&lt;&gt;"معتمد","لم يُعتمد","قابل للنشر"))))))))))</f>
        <v/>
      </c>
    </row>
    <row r="11" ht="30" customHeight="1">
      <c r="A11" s="8" t="inlineStr">
        <is>
          <t>ق-10</t>
        </is>
      </c>
      <c r="B11" s="5" t="inlineStr">
        <is>
          <t>ح2</t>
        </is>
      </c>
      <c r="C11" s="5" t="inlineStr">
        <is>
          <t>أساسي</t>
        </is>
      </c>
      <c r="D11" s="6" t="inlineStr">
        <is>
          <t>م-03</t>
        </is>
      </c>
      <c r="E11" s="6" t="inlineStr"/>
      <c r="F11" s="5" t="inlineStr"/>
      <c r="G11" s="5" t="inlineStr"/>
      <c r="H11" s="5" t="inlineStr"/>
      <c r="I11" s="5" t="inlineStr"/>
      <c r="J11" s="6" t="inlineStr"/>
      <c r="K11" s="6" t="inlineStr">
        <is>
          <t>المكي والمدني</t>
        </is>
      </c>
      <c r="L11" s="6" t="inlineStr"/>
      <c r="M11" s="6" t="inlineStr"/>
      <c r="N11" s="6" t="inlineStr"/>
      <c r="O11" s="6" t="inlineStr"/>
      <c r="P11" s="6" t="inlineStr"/>
      <c r="Q11" s="6" t="inlineStr"/>
      <c r="R11" s="6" t="inlineStr"/>
      <c r="S11" s="6" t="inlineStr">
        <is>
          <t>لم يُستخرج</t>
        </is>
      </c>
      <c r="T11" s="6" t="inlineStr"/>
      <c r="U11" s="9">
        <f>IF(A11="","",IF(J11="","لم يُستخرج بعد",IF(OR(M11="ج",M11="د"),"المستوى لا يُنشر",IF(OR(IFERROR(INDEX(المصادر!$E$2:$E$20,MATCH(D11,المصادر!$A$2:$A$20,0)),"")&lt;&gt;"معروضة",IFERROR(INDEX(المصادر!$F$2:$F$20,MATCH(D11,المصادر!$A$2:$A$20,0)),"")&lt;&gt;"نعم"),"المصدر غير معتمد",IF(OR(B11="",E11="",K11="",M11="",N11=""),"بيانات ناقصة",IF(P11&lt;&gt;"نعم","لم يجتز الفحوص",IF(Q11="","المراجعة غير موثقة",IF(AND(N11="نعم",R11="موافق بتعديل"),"بانتظار تنفيذ التعديل",IF(AND(N11="نعم",R11&lt;&gt;"موافق"),"بانتظار رأي المختص",IF(S11&lt;&gt;"معتمد","لم يُعتمد","قابل للنشر"))))))))))</f>
        <v/>
      </c>
    </row>
    <row r="12" ht="120" customHeight="1">
      <c r="A12" s="8" t="inlineStr">
        <is>
          <t>ق-29</t>
        </is>
      </c>
      <c r="B12" s="5" t="inlineStr">
        <is>
          <t>ح2</t>
        </is>
      </c>
      <c r="C12" s="5" t="inlineStr">
        <is>
          <t>إضافي</t>
        </is>
      </c>
      <c r="D12" s="6" t="inlineStr">
        <is>
          <t>م-01</t>
        </is>
      </c>
      <c r="E12" s="6" t="inlineStr">
        <is>
          <t>المسألة (40)، ص192–ص192 — مختصر الإجابة</t>
        </is>
      </c>
      <c r="F12" s="5" t="inlineStr">
        <is>
          <t>اختلاف أسلوب القرآن المكي والمدني.</t>
        </is>
      </c>
      <c r="G12" s="5" t="inlineStr">
        <is>
          <t>تغير أسلوب القرآن المدني عن القرآن المكي من الشدة إلى اللين، يدل على تأثره بالبيئة؛ وهذا يدل على أنه من فعل البشر.</t>
        </is>
      </c>
      <c r="H12" s="5" t="inlineStr">
        <is>
          <t>هل تأثر أسلوب القرآن بالبيئة التي نزل فيها؟</t>
        </is>
      </c>
      <c r="I12" s="5" t="inlineStr">
        <is>
          <t>—</t>
        </is>
      </c>
      <c r="J12"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2" s="6" t="inlineStr">
        <is>
          <t>يبين أن القرآن المكي والمدني كليهما فيه اللين والشدة، وأن الخطاب يراعي حال المخاطبين.</t>
        </is>
      </c>
      <c r="L12" s="6" t="inlineStr">
        <is>
          <t>ما الفرق بين أسلوب السور المكية والمدنية؟</t>
        </is>
      </c>
      <c r="M12" s="6" t="inlineStr">
        <is>
          <t>ب</t>
        </is>
      </c>
      <c r="N12" s="6" t="inlineStr">
        <is>
          <t>لا</t>
        </is>
      </c>
      <c r="O12" s="6" t="inlineStr">
        <is>
          <t>لا يوجد في المختصر</t>
        </is>
      </c>
      <c r="P12" s="6" t="inlineStr">
        <is>
          <t>نعم</t>
        </is>
      </c>
      <c r="Q12" s="6" t="inlineStr">
        <is>
          <t>محمد — 2026-10-04</t>
        </is>
      </c>
      <c r="R12" s="6" t="inlineStr"/>
      <c r="S12" s="6" t="inlineStr">
        <is>
          <t>معتمد</t>
        </is>
      </c>
      <c r="T12" s="6" t="inlineStr">
        <is>
          <t>فيه إحالة «بهذا القول المذكور في السؤال». ق-10 (التعريف) يبقى بحاجة إلى م-03.</t>
        </is>
      </c>
      <c r="U12" s="9">
        <f>IF(A12="","",IF(J12="","لم يُستخرج بعد",IF(OR(M12="ج",M12="د"),"المستوى لا يُنشر",IF(OR(IFERROR(INDEX(المصادر!$E$2:$E$20,MATCH(D12,المصادر!$A$2:$A$20,0)),"")&lt;&gt;"معروضة",IFERROR(INDEX(المصادر!$F$2:$F$20,MATCH(D12,المصادر!$A$2:$A$20,0)),"")&lt;&gt;"نعم"),"المصدر غير معتمد",IF(OR(B12="",E12="",K12="",M12="",N12=""),"بيانات ناقصة",IF(P12&lt;&gt;"نعم","لم يجتز الفحوص",IF(Q12="","المراجعة غير موثقة",IF(AND(N12="نعم",R12="موافق بتعديل"),"بانتظار تنفيذ التعديل",IF(AND(N12="نعم",R12&lt;&gt;"موافق"),"بانتظار رأي المختص",IF(S12&lt;&gt;"معتمد","لم يُعتمد","قابل للنشر"))))))))))</f>
        <v/>
      </c>
    </row>
    <row r="13" ht="120" customHeight="1">
      <c r="A13" s="8" t="inlineStr">
        <is>
          <t>ق-30</t>
        </is>
      </c>
      <c r="B13" s="5" t="inlineStr">
        <is>
          <t>ح2</t>
        </is>
      </c>
      <c r="C13" s="5" t="inlineStr">
        <is>
          <t>إضافي</t>
        </is>
      </c>
      <c r="D13" s="6" t="inlineStr">
        <is>
          <t>م-01</t>
        </is>
      </c>
      <c r="E13" s="6" t="inlineStr">
        <is>
          <t>المسألة (103)، ص472–ص473 — مختصر الإجابة</t>
        </is>
      </c>
      <c r="F13" s="5" t="inlineStr">
        <is>
          <t>لماذا يكون الوحي بطرق خفية، ولا يأتي جبريل بصورته الحقيقية مبلغا الناس ما يريده؟</t>
        </is>
      </c>
      <c r="G13" s="5"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3" s="5" t="inlineStr">
        <is>
          <t>هل الوحي يجب أن يأتي به الملك بصورته الحقيقية؟</t>
        </is>
      </c>
      <c r="I13" s="5" t="inlineStr">
        <is>
          <t>إن إرسال جبريل في صورته الحقيقية، مبلغا الرسول بصوت واضح ما يريده، هو الأمر الأولى في صور الوحي من وجهة نظر السائل، دون الطرق الخفية.</t>
        </is>
      </c>
      <c r="J13"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3" s="6" t="inlineStr">
        <is>
          <t>يبين أن المطلوب هو التصديق بالنبوة بأدلتها، لا معرفة كيفية مجيء الوحي، وأن خفاء الطريقة من حكمة الابتلاء.</t>
        </is>
      </c>
      <c r="L13" s="6" t="inlineStr">
        <is>
          <t>لماذا لم ير الناس جبريل؟ | لماذا كان الوحي خفيا؟</t>
        </is>
      </c>
      <c r="M13" s="6" t="inlineStr">
        <is>
          <t>ب</t>
        </is>
      </c>
      <c r="N13" s="6" t="inlineStr">
        <is>
          <t>نعم</t>
        </is>
      </c>
      <c r="O13" s="6" t="inlineStr">
        <is>
          <t>—</t>
        </is>
      </c>
      <c r="P13" s="6" t="inlineStr">
        <is>
          <t>نعم</t>
        </is>
      </c>
      <c r="Q13" s="6" t="inlineStr">
        <is>
          <t>محمد — 2026-10-04</t>
        </is>
      </c>
      <c r="R13" s="6">
        <f>IF(للمختص!H13="","",للمختص!H13)</f>
        <v/>
      </c>
      <c r="S13" s="6" t="inlineStr">
        <is>
          <t>معتمد</t>
        </is>
      </c>
      <c r="T13" s="6" t="inlineStr">
        <is>
          <t>ق-08 (صور الوحي) يبقى بحاجة إلى مادة أخرى.</t>
        </is>
      </c>
      <c r="U13" s="9">
        <f>IF(A13="","",IF(J13="","لم يُستخرج بعد",IF(OR(M13="ج",M13="د"),"المستوى لا يُنشر",IF(OR(IFERROR(INDEX(المصادر!$E$2:$E$20,MATCH(D13,المصادر!$A$2:$A$20,0)),"")&lt;&gt;"معروضة",IFERROR(INDEX(المصادر!$F$2:$F$20,MATCH(D13,المصادر!$A$2:$A$20,0)),"")&lt;&gt;"نعم"),"المصدر غير معتمد",IF(OR(B13="",E13="",K13="",M13="",N13=""),"بيانات ناقصة",IF(P13&lt;&gt;"نعم","لم يجتز الفحوص",IF(Q13="","المراجعة غير موثقة",IF(AND(N13="نعم",R13="موافق بتعديل"),"بانتظار تنفيذ التعديل",IF(AND(N13="نعم",R13&lt;&gt;"موافق"),"بانتظار رأي المختص",IF(S13&lt;&gt;"معتمد","لم يُعتمد","قابل للنشر"))))))))))</f>
        <v/>
      </c>
      <c r="V13" s="5" t="inlineStr">
        <is>
          <t>يتناول كيفية الوحي ومجيء جبريل، وهي أمور غيبية. فيه مثال «أسواط من النار… وأطواق من الذهب» لبيان حكمة الابتلاء، وتقرير أن «عدم العلم بطريقة الشيء لا يستلزم عدم وقوعه».</t>
        </is>
      </c>
    </row>
    <row r="14" ht="120" customHeight="1">
      <c r="A14" s="8" t="inlineStr">
        <is>
          <t>ق-11</t>
        </is>
      </c>
      <c r="B14" s="5" t="inlineStr">
        <is>
          <t>ح3</t>
        </is>
      </c>
      <c r="C14" s="5" t="inlineStr">
        <is>
          <t>أساسي</t>
        </is>
      </c>
      <c r="D14" s="6" t="inlineStr">
        <is>
          <t>م-01</t>
        </is>
      </c>
      <c r="E14" s="6" t="inlineStr">
        <is>
          <t>المسألة (42)، ص201–ص201 — الجواب التفصيلي</t>
        </is>
      </c>
      <c r="F14" s="5" t="inlineStr">
        <is>
          <t>ادعاء أن القرآن لم يدون كله ولم يجمع في عهد النبي ﷺ.</t>
        </is>
      </c>
      <c r="G14" s="5" t="inlineStr">
        <is>
          <t>لم يجمع القرآن كتابة في عهد النبي، وقد وقع التحريف والتبديل حين جمعه الصحابة؛ والدليل اختلافهم في بعض الآيات.</t>
        </is>
      </c>
      <c r="H14" s="5" t="inlineStr">
        <is>
          <t>جمع القرآن. | تدوين القرآن الكريم.</t>
        </is>
      </c>
      <c r="I14" s="5" t="inlineStr">
        <is>
          <t>عن تدوين القرآن وجمعه، هل تم كل ذلك في عهد النبي ﷺ، فإذا لم يحصل، كان هذا دليلا على إمكانية وقوع التحريف فيه.</t>
        </is>
      </c>
      <c r="J14"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4" s="6" t="inlineStr">
        <is>
          <t>يعدد الطرق التي حُفظ بها القرآن زمن النبي ﷺ: الحفظ في صدور الصحابة، والتدوين فور النزول، ومعارضة جبريل له كل عام، وعدالة كتبته.</t>
        </is>
      </c>
      <c r="L14" s="6" t="inlineStr">
        <is>
          <t>كيف حُفظ القرآن زمن النبي؟ | هل كان الصحابة يحفظون القرآن؟ | من كان يكتب الوحي؟</t>
        </is>
      </c>
      <c r="M14" s="6" t="inlineStr">
        <is>
          <t>أ</t>
        </is>
      </c>
      <c r="N14" s="6" t="inlineStr">
        <is>
          <t>لا</t>
        </is>
      </c>
      <c r="O14" s="6" t="inlineStr">
        <is>
          <t>البند 3 يشير إلى حديث معارضة جبريل للنبي ﷺ (البخاري) دون نصه — يُوثَّق من الدرر</t>
        </is>
      </c>
      <c r="P14" s="6" t="inlineStr">
        <is>
          <t>نعم</t>
        </is>
      </c>
      <c r="Q14" s="6" t="inlineStr">
        <is>
          <t>محمد — 2026-10-04</t>
        </is>
      </c>
      <c r="R14" s="6" t="inlineStr"/>
      <c r="S14" s="6" t="inlineStr">
        <is>
          <t>معتمد</t>
        </is>
      </c>
      <c r="T14" s="6" t="inlineStr">
        <is>
          <t>جزء من الجواب التفصيلي لمسألة شبهة؛ يبدأ بـ«أولا» فيُحذف الترقيم عند العرض إن رأيت ذلك (تعديل شكلي يُسجَّل).</t>
        </is>
      </c>
      <c r="U14" s="9">
        <f>IF(A14="","",IF(J14="","لم يُستخرج بعد",IF(OR(M14="ج",M14="د"),"المستوى لا يُنشر",IF(OR(IFERROR(INDEX(المصادر!$E$2:$E$20,MATCH(D14,المصادر!$A$2:$A$20,0)),"")&lt;&gt;"معروضة",IFERROR(INDEX(المصادر!$F$2:$F$20,MATCH(D14,المصادر!$A$2:$A$20,0)),"")&lt;&gt;"نعم"),"المصدر غير معتمد",IF(OR(B14="",E14="",K14="",M14="",N14=""),"بيانات ناقصة",IF(P14&lt;&gt;"نعم","لم يجتز الفحوص",IF(Q14="","المراجعة غير موثقة",IF(AND(N14="نعم",R14="موافق بتعديل"),"بانتظار تنفيذ التعديل",IF(AND(N14="نعم",R14&lt;&gt;"موافق"),"بانتظار رأي المختص",IF(S14&lt;&gt;"معتمد","لم يُعتمد","قابل للنشر"))))))))))</f>
        <v/>
      </c>
    </row>
    <row r="15" ht="120" customHeight="1">
      <c r="A15" s="8" t="inlineStr">
        <is>
          <t>ق-12</t>
        </is>
      </c>
      <c r="B15" s="5" t="inlineStr">
        <is>
          <t>ح3</t>
        </is>
      </c>
      <c r="C15" s="5" t="inlineStr">
        <is>
          <t>أساسي</t>
        </is>
      </c>
      <c r="D15" s="6" t="inlineStr">
        <is>
          <t>م-01</t>
        </is>
      </c>
      <c r="E15" s="6" t="inlineStr">
        <is>
          <t>المسألة (42)، ص200–ص201 — مختصر الإجابة</t>
        </is>
      </c>
      <c r="F15" s="5" t="inlineStr">
        <is>
          <t>ادعاء أن القرآن لم يدون كله ولم يجمع في عهد النبي ﷺ.</t>
        </is>
      </c>
      <c r="G15" s="5" t="inlineStr">
        <is>
          <t>لم يجمع القرآن كتابة في عهد النبي، وقد وقع التحريف والتبديل حين جمعه الصحابة؛ والدليل اختلافهم في بعض الآيات.</t>
        </is>
      </c>
      <c r="H15" s="5" t="inlineStr">
        <is>
          <t>جمع القرآن. | تدوين القرآن الكريم.</t>
        </is>
      </c>
      <c r="I15" s="5" t="inlineStr">
        <is>
          <t>عن تدوين القرآن وجمعه، هل تم كل ذلك في عهد النبي ﷺ، فإذا لم يحصل، كان هذا دليلا على إمكانية وقوع التحريف فيه.</t>
        </is>
      </c>
      <c r="J15"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15" s="6" t="inlineStr">
        <is>
          <t>يبين أن القرآن كُتب ثلاث مرات: في حياة النبي ﷺ في صحف متفرقة، ثم في عهد أبي بكر، ثم جُمع في مصحف واحد في عهد عثمان رضي الله عنهما.</t>
        </is>
      </c>
      <c r="L15" s="6" t="inlineStr">
        <is>
          <t>كيف جُمع القرآن؟ | لماذا لم يُجمع القرآن في كتاب واحد زمن النبي؟ | متى كُتب القرآن؟</t>
        </is>
      </c>
      <c r="M15" s="6" t="inlineStr">
        <is>
          <t>أ</t>
        </is>
      </c>
      <c r="N15" s="6" t="inlineStr">
        <is>
          <t>لا</t>
        </is>
      </c>
      <c r="O15" s="6" t="inlineStr">
        <is>
          <t>—</t>
        </is>
      </c>
      <c r="P15" s="6" t="inlineStr">
        <is>
          <t>نعم</t>
        </is>
      </c>
      <c r="Q15" s="6" t="inlineStr">
        <is>
          <t>محمد — 2026-10-04</t>
        </is>
      </c>
      <c r="R15" s="6" t="inlineStr"/>
      <c r="S15" s="6" t="inlineStr">
        <is>
          <t>معتمد</t>
        </is>
      </c>
      <c r="T15" s="6" t="inlineStr">
        <is>
          <t>«رضي الله عنه» مكتوبة في المطبوع رمزا بعد أبي بكر وعثمان؛ كتبتها نصا. عبارة «بشهادة الكثير من أهل الغرب» قد تحتاج قرارك.</t>
        </is>
      </c>
      <c r="U15" s="9">
        <f>IF(A15="","",IF(J15="","لم يُستخرج بعد",IF(OR(M15="ج",M15="د"),"المستوى لا يُنشر",IF(OR(IFERROR(INDEX(المصادر!$E$2:$E$20,MATCH(D15,المصادر!$A$2:$A$20,0)),"")&lt;&gt;"معروضة",IFERROR(INDEX(المصادر!$F$2:$F$20,MATCH(D15,المصادر!$A$2:$A$20,0)),"")&lt;&gt;"نعم"),"المصدر غير معتمد",IF(OR(B15="",E15="",K15="",M15="",N15=""),"بيانات ناقصة",IF(P15&lt;&gt;"نعم","لم يجتز الفحوص",IF(Q15="","المراجعة غير موثقة",IF(AND(N15="نعم",R15="موافق بتعديل"),"بانتظار تنفيذ التعديل",IF(AND(N15="نعم",R15&lt;&gt;"موافق"),"بانتظار رأي المختص",IF(S15&lt;&gt;"معتمد","لم يُعتمد","قابل للنشر"))))))))))</f>
        <v/>
      </c>
    </row>
    <row r="16" ht="30" customHeight="1">
      <c r="A16" s="8" t="inlineStr">
        <is>
          <t>ق-33</t>
        </is>
      </c>
      <c r="B16" s="5" t="inlineStr">
        <is>
          <t>ح3</t>
        </is>
      </c>
      <c r="C16" s="5" t="inlineStr">
        <is>
          <t>أساسي</t>
        </is>
      </c>
      <c r="D16" s="6" t="inlineStr">
        <is>
          <t>م-02</t>
        </is>
      </c>
      <c r="E16" s="6" t="inlineStr">
        <is>
          <t>الدرر 1413</t>
        </is>
      </c>
      <c r="F16" s="5" t="inlineStr"/>
      <c r="G16" s="5" t="inlineStr"/>
      <c r="H16" s="5" t="inlineStr"/>
      <c r="I16" s="5" t="inlineStr"/>
      <c r="J16" s="6" t="inlineStr"/>
      <c r="K16" s="6" t="inlineStr">
        <is>
          <t>حفظ القرآن في عهد الصحابة</t>
        </is>
      </c>
      <c r="L16" s="6" t="inlineStr"/>
      <c r="M16" s="6" t="inlineStr"/>
      <c r="N16" s="6" t="inlineStr"/>
      <c r="O16" s="6" t="inlineStr"/>
      <c r="P16" s="6" t="inlineStr"/>
      <c r="Q16" s="6" t="inlineStr"/>
      <c r="R16" s="6" t="inlineStr"/>
      <c r="S16" s="6" t="inlineStr">
        <is>
          <t>لم يُستخرج</t>
        </is>
      </c>
      <c r="T16" s="6" t="inlineStr"/>
      <c r="U16" s="9">
        <f>IF(A16="","",IF(J16="","لم يُستخرج بعد",IF(OR(M16="ج",M16="د"),"المستوى لا يُنشر",IF(OR(IFERROR(INDEX(المصادر!$E$2:$E$20,MATCH(D16,المصادر!$A$2:$A$20,0)),"")&lt;&gt;"معروضة",IFERROR(INDEX(المصادر!$F$2:$F$20,MATCH(D16,المصادر!$A$2:$A$20,0)),"")&lt;&gt;"نعم"),"المصدر غير معتمد",IF(OR(B16="",E16="",K16="",M16="",N16=""),"بيانات ناقصة",IF(P16&lt;&gt;"نعم","لم يجتز الفحوص",IF(Q16="","المراجعة غير موثقة",IF(AND(N16="نعم",R16="موافق بتعديل"),"بانتظار تنفيذ التعديل",IF(AND(N16="نعم",R16&lt;&gt;"موافق"),"بانتظار رأي المختص",IF(S16&lt;&gt;"معتمد","لم يُعتمد","قابل للنشر"))))))))))</f>
        <v/>
      </c>
    </row>
    <row r="17" ht="120" customHeight="1">
      <c r="A17" s="8" t="inlineStr">
        <is>
          <t>ق-13</t>
        </is>
      </c>
      <c r="B17" s="5" t="inlineStr">
        <is>
          <t>ح3</t>
        </is>
      </c>
      <c r="C17" s="5" t="inlineStr">
        <is>
          <t>إضافي</t>
        </is>
      </c>
      <c r="D17" s="6" t="inlineStr">
        <is>
          <t>م-01</t>
        </is>
      </c>
      <c r="E17" s="6" t="inlineStr">
        <is>
          <t>المسألة (48)، ص225–ص226 — مختصر الإجابة</t>
        </is>
      </c>
      <c r="F17" s="5" t="inlineStr">
        <is>
          <t>هل ضاع شيء من القرآن الذي سمعه الصحابة من النبي ﷺ؛ بسبب جمع عثمان للقرآن؟</t>
        </is>
      </c>
      <c r="G17" s="5" t="inlineStr">
        <is>
          <t>هل ضاع شيء من القرآن الذي سمعه الصحابة من النبي ﷺ؛ بسبب جمع عثمان للقرآن؟</t>
        </is>
      </c>
      <c r="H17" s="5" t="inlineStr">
        <is>
          <t>ألم يكن في إلزام عثمان للصحابة بمصحف واحد، وترك ما بأيديهم، ترك لما سمعوه من النبي على أنه قرآن؟</t>
        </is>
      </c>
      <c r="I17" s="5" t="inlineStr">
        <is>
          <t>—</t>
        </is>
      </c>
      <c r="J1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17" s="6" t="inlineStr">
        <is>
          <t>يوضح أن جمع عثمان رضي الله عنه للناس على مصحف واحد كان باتفاق الصحابة لمنع الاختلاف، ويذكر ضوابط ذلك الجمع.</t>
        </is>
      </c>
      <c r="L17" s="6" t="inlineStr">
        <is>
          <t>لماذا جمع عثمان القرآن؟ | هل ضاع شيء من القرآن بجمع عثمان؟ | ما الفرق بين جمع أبي بكر وجمع عثمان؟</t>
        </is>
      </c>
      <c r="M17" s="6" t="inlineStr">
        <is>
          <t>ب</t>
        </is>
      </c>
      <c r="N17" s="6" t="inlineStr">
        <is>
          <t>نعم</t>
        </is>
      </c>
      <c r="O17" s="6" t="inlineStr">
        <is>
          <t>—</t>
        </is>
      </c>
      <c r="P17" s="6" t="inlineStr">
        <is>
          <t>نعم</t>
        </is>
      </c>
      <c r="Q17" s="6" t="inlineStr">
        <is>
          <t>محمد — 2026-10-04</t>
        </is>
      </c>
      <c r="R17" s="6">
        <f>IF(للمختص!H8="","",للمختص!H8)</f>
        <v/>
      </c>
      <c r="S17" s="6" t="inlineStr">
        <is>
          <t>معتمد</t>
        </is>
      </c>
      <c r="T17" s="6" t="inlineStr">
        <is>
          <t>حساس: يذكر اختلاف القراءات والنسخ؛ مصطلحات تحتاج تبسيطا للمبتدئ. للمختص الأعلم.</t>
        </is>
      </c>
      <c r="U17" s="9">
        <f>IF(A17="","",IF(J17="","لم يُستخرج بعد",IF(OR(M17="ج",M17="د"),"المستوى لا يُنشر",IF(OR(IFERROR(INDEX(المصادر!$E$2:$E$20,MATCH(D17,المصادر!$A$2:$A$20,0)),"")&lt;&gt;"معروضة",IFERROR(INDEX(المصادر!$F$2:$F$20,MATCH(D17,المصادر!$A$2:$A$20,0)),"")&lt;&gt;"نعم"),"المصدر غير معتمد",IF(OR(B17="",E17="",K17="",M17="",N17=""),"بيانات ناقصة",IF(P17&lt;&gt;"نعم","لم يجتز الفحوص",IF(Q17="","المراجعة غير موثقة",IF(AND(N17="نعم",R17="موافق بتعديل"),"بانتظار تنفيذ التعديل",IF(AND(N17="نعم",R17&lt;&gt;"موافق"),"بانتظار رأي المختص",IF(S17&lt;&gt;"معتمد","لم يُعتمد","قابل للنشر"))))))))))</f>
        <v/>
      </c>
      <c r="V17" s="5" t="inlineStr">
        <is>
          <t>جمع عثمان رضي الله عنه موضوع تُبنى عليه شبهات التحريف وضياع شيء من القرآن. المقطع يذكر مصطلحات دقيقة للمبتدئ: «العرضة الأخيرة»، «ما نُسخت تلاوته»، «التواتر والآحاد»، «اختلاف قراءاتهم». وعبارات مثل «أُهملت روايات الآحاد» و«جميع من شهد الجمع شاركوا فيه» تحتاج تأكيد دقتها بإطلاقها.</t>
        </is>
      </c>
    </row>
    <row r="18" ht="120" customHeight="1">
      <c r="A18" s="8" t="inlineStr">
        <is>
          <t>ق-14</t>
        </is>
      </c>
      <c r="B18" s="5" t="inlineStr">
        <is>
          <t>ح3</t>
        </is>
      </c>
      <c r="C18" s="5" t="inlineStr">
        <is>
          <t>إضافي</t>
        </is>
      </c>
      <c r="D18" s="6" t="inlineStr">
        <is>
          <t>م-01</t>
        </is>
      </c>
      <c r="E18" s="6" t="inlineStr">
        <is>
          <t>المسألة (43)، ص204–ص205 — مختصر الإجابة</t>
        </is>
      </c>
      <c r="F18" s="5" t="inlineStr">
        <is>
          <t>ادعاء أن نقل الصحابة للقرآن نقل آحادي لا متواتر.</t>
        </is>
      </c>
      <c r="G18" s="5"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18" s="5" t="inlineStr">
        <is>
          <t>هل ثبت أن القرآن متواتر؟ | كم عدد الصحابة الذين نقلوا القرآن؟</t>
        </is>
      </c>
      <c r="I18" s="5" t="inlineStr">
        <is>
          <t>يدور السؤال حول نقل الصحابة للقرآن الكريم، وهل تحقق وفق شروط التواتر؛ لوجود مرويات حددت أعدادا محدودة من الصحابة يؤخذ عنهم القرآن؟</t>
        </is>
      </c>
      <c r="J1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18" s="6" t="inlineStr">
        <is>
          <t>يبين أن حفظة القرآن من الصحابة كانوا كثيرين، وأن الروايات التي تذكر عددا قليلا لا يُقصد بها الحصر.</t>
        </is>
      </c>
      <c r="L18" s="6" t="inlineStr">
        <is>
          <t>كم عدد الصحابة الذين حفظوا القرآن؟ | هل نُقل القرآن عن عدد قليل؟ | كيف وصل القرآن إلينا؟</t>
        </is>
      </c>
      <c r="M18" s="6" t="inlineStr">
        <is>
          <t>ب</t>
        </is>
      </c>
      <c r="N18" s="6" t="inlineStr">
        <is>
          <t>نعم</t>
        </is>
      </c>
      <c r="O18" s="6" t="inlineStr">
        <is>
          <t>يشير إلى روايات الحصر (حديث أنس في الصحيحين، مذكور في السؤال لا في المقطع); حديث أنس في السؤال المصدري</t>
        </is>
      </c>
      <c r="P18" s="6" t="inlineStr">
        <is>
          <t>نعم</t>
        </is>
      </c>
      <c r="Q18" s="6" t="inlineStr">
        <is>
          <t>محمد — 2026-10-04</t>
        </is>
      </c>
      <c r="R18" s="6">
        <f>IF(للمختص!H9="","",للمختص!H9)</f>
        <v/>
      </c>
      <c r="S18" s="6" t="inlineStr">
        <is>
          <t>معتمد</t>
        </is>
      </c>
      <c r="T18" s="6" t="inlineStr">
        <is>
          <t>يرد على اعتراض محدد؛ لا يشرح التلقي المتصل للمبتدئ. يذكر «الأحرف المختلفة» (خارج النطاق). قد يُبقى بديلا ويُطلب مقطع أساسي من م-03.</t>
        </is>
      </c>
      <c r="U18" s="9">
        <f>IF(A18="","",IF(J18="","لم يُستخرج بعد",IF(OR(M18="ج",M18="د"),"المستوى لا يُنشر",IF(OR(IFERROR(INDEX(المصادر!$E$2:$E$20,MATCH(D18,المصادر!$A$2:$A$20,0)),"")&lt;&gt;"معروضة",IFERROR(INDEX(المصادر!$F$2:$F$20,MATCH(D18,المصادر!$A$2:$A$20,0)),"")&lt;&gt;"نعم"),"المصدر غير معتمد",IF(OR(B18="",E18="",K18="",M18="",N18=""),"بيانات ناقصة",IF(P18&lt;&gt;"نعم","لم يجتز الفحوص",IF(Q18="","المراجعة غير موثقة",IF(AND(N18="نعم",R18="موافق بتعديل"),"بانتظار تنفيذ التعديل",IF(AND(N18="نعم",R18&lt;&gt;"موافق"),"بانتظار رأي المختص",IF(S18&lt;&gt;"معتمد","لم يُعتمد","قابل للنشر"))))))))))</f>
        <v/>
      </c>
      <c r="V18" s="5" t="inlineStr">
        <is>
          <t>يرد على رواية «جمع القرآن على عهد النبي ﷺ أربعة» دون أن يعرضها للقارئ، ويوجّه روايات الحصر (التمثيل لا الحصر، ذكر المتقدمين…)، ويذكر «الأحرف المختلفة» وهي خارج نطاقنا.</t>
        </is>
      </c>
    </row>
    <row r="19" ht="30" customHeight="1">
      <c r="A19" s="8" t="inlineStr">
        <is>
          <t>ق-15</t>
        </is>
      </c>
      <c r="B19" s="5" t="inlineStr">
        <is>
          <t>ح4</t>
        </is>
      </c>
      <c r="C19" s="5" t="inlineStr">
        <is>
          <t>أساسي</t>
        </is>
      </c>
      <c r="D19" s="6" t="inlineStr">
        <is>
          <t>م-03</t>
        </is>
      </c>
      <c r="E19" s="6" t="inlineStr"/>
      <c r="F19" s="5" t="inlineStr"/>
      <c r="G19" s="5" t="inlineStr"/>
      <c r="H19" s="5" t="inlineStr"/>
      <c r="I19" s="5" t="inlineStr"/>
      <c r="J19" s="6" t="inlineStr"/>
      <c r="K19" s="6" t="inlineStr">
        <is>
          <t>السورة والآية، وعدد سور القرآن</t>
        </is>
      </c>
      <c r="L19" s="6" t="inlineStr"/>
      <c r="M19" s="6" t="inlineStr"/>
      <c r="N19" s="6" t="inlineStr"/>
      <c r="O19" s="6" t="inlineStr"/>
      <c r="P19" s="6" t="inlineStr"/>
      <c r="Q19" s="6" t="inlineStr"/>
      <c r="R19" s="6" t="inlineStr"/>
      <c r="S19" s="6" t="inlineStr">
        <is>
          <t>لم يُستخرج</t>
        </is>
      </c>
      <c r="T19" s="6" t="inlineStr"/>
      <c r="U19" s="9">
        <f>IF(A19="","",IF(J19="","لم يُستخرج بعد",IF(OR(M19="ج",M19="د"),"المستوى لا يُنشر",IF(OR(IFERROR(INDEX(المصادر!$E$2:$E$20,MATCH(D19,المصادر!$A$2:$A$20,0)),"")&lt;&gt;"معروضة",IFERROR(INDEX(المصادر!$F$2:$F$20,MATCH(D19,المصادر!$A$2:$A$20,0)),"")&lt;&gt;"نعم"),"المصدر غير معتمد",IF(OR(B19="",E19="",K19="",M19="",N19=""),"بيانات ناقصة",IF(P19&lt;&gt;"نعم","لم يجتز الفحوص",IF(Q19="","المراجعة غير موثقة",IF(AND(N19="نعم",R19="موافق بتعديل"),"بانتظار تنفيذ التعديل",IF(AND(N19="نعم",R19&lt;&gt;"موافق"),"بانتظار رأي المختص",IF(S19&lt;&gt;"معتمد","لم يُعتمد","قابل للنشر"))))))))))</f>
        <v/>
      </c>
    </row>
    <row r="20" ht="30" customHeight="1">
      <c r="A20" s="8" t="inlineStr">
        <is>
          <t>ق-16</t>
        </is>
      </c>
      <c r="B20" s="5" t="inlineStr">
        <is>
          <t>ح4</t>
        </is>
      </c>
      <c r="C20" s="5" t="inlineStr">
        <is>
          <t>أساسي</t>
        </is>
      </c>
      <c r="D20" s="6" t="inlineStr">
        <is>
          <t>م-03</t>
        </is>
      </c>
      <c r="E20" s="6" t="inlineStr"/>
      <c r="F20" s="5" t="inlineStr"/>
      <c r="G20" s="5" t="inlineStr"/>
      <c r="H20" s="5" t="inlineStr"/>
      <c r="I20" s="5" t="inlineStr"/>
      <c r="J20" s="6" t="inlineStr"/>
      <c r="K20" s="6" t="inlineStr">
        <is>
          <t>كيف أصل إلى سورة وآية في المصحف</t>
        </is>
      </c>
      <c r="L20" s="6" t="inlineStr"/>
      <c r="M20" s="6" t="inlineStr"/>
      <c r="N20" s="6" t="inlineStr"/>
      <c r="O20" s="6" t="inlineStr"/>
      <c r="P20" s="6" t="inlineStr"/>
      <c r="Q20" s="6" t="inlineStr"/>
      <c r="R20" s="6" t="inlineStr"/>
      <c r="S20" s="6" t="inlineStr">
        <is>
          <t>لم يُستخرج</t>
        </is>
      </c>
      <c r="T20" s="6" t="inlineStr"/>
      <c r="U20" s="9">
        <f>IF(A20="","",IF(J20="","لم يُستخرج بعد",IF(OR(M20="ج",M20="د"),"المستوى لا يُنشر",IF(OR(IFERROR(INDEX(المصادر!$E$2:$E$20,MATCH(D20,المصادر!$A$2:$A$20,0)),"")&lt;&gt;"معروضة",IFERROR(INDEX(المصادر!$F$2:$F$20,MATCH(D20,المصادر!$A$2:$A$20,0)),"")&lt;&gt;"نعم"),"المصدر غير معتمد",IF(OR(B20="",E20="",K20="",M20="",N20=""),"بيانات ناقصة",IF(P20&lt;&gt;"نعم","لم يجتز الفحوص",IF(Q20="","المراجعة غير موثقة",IF(AND(N20="نعم",R20="موافق بتعديل"),"بانتظار تنفيذ التعديل",IF(AND(N20="نعم",R20&lt;&gt;"موافق"),"بانتظار رأي المختص",IF(S20&lt;&gt;"معتمد","لم يُعتمد","قابل للنشر"))))))))))</f>
        <v/>
      </c>
    </row>
    <row r="21" ht="120" customHeight="1">
      <c r="A21" s="8" t="inlineStr">
        <is>
          <t>ق-17</t>
        </is>
      </c>
      <c r="B21" s="5" t="inlineStr">
        <is>
          <t>ح4</t>
        </is>
      </c>
      <c r="C21" s="5" t="inlineStr">
        <is>
          <t>أساسي</t>
        </is>
      </c>
      <c r="D21" s="6" t="inlineStr">
        <is>
          <t>م-01</t>
        </is>
      </c>
      <c r="E21" s="6" t="inlineStr">
        <is>
          <t>المسألة (54)، ص249–ص250 — مختصر الإجابة</t>
        </is>
      </c>
      <c r="F21" s="5" t="inlineStr">
        <is>
          <t>ادعاء أن ترتيب آيات القرآن من فعل الصحابة.</t>
        </is>
      </c>
      <c r="G21" s="5" t="inlineStr">
        <is>
          <t>ما دام الصحابة قد رتبوا آيات القرآن؛ فهذا دليل على تحريفهم لآيات القرآن؛ كما يمكن بسبب ذلك وقوع الأخطاء فيه، والإدخال عليه.</t>
        </is>
      </c>
      <c r="H21" s="5" t="inlineStr">
        <is>
          <t>ترتيب آيات القرآن. | ترتيب الصحابة للمصحف.</t>
        </is>
      </c>
      <c r="I21" s="5"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1"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1" s="6" t="inlineStr">
        <is>
          <t>يبين أن ترتيب الآيات داخل كل سورة من الوحي، ويذكر خلاف العلماء في ترتيب السور وأن الجمهور على أنه توقيفي.</t>
        </is>
      </c>
      <c r="L21" s="6" t="inlineStr">
        <is>
          <t>من رتّب سور القرآن؟ | لماذا ترتيب المصحف ليس بحسب النزول؟ | هل ترتيب الآيات من الصحابة؟</t>
        </is>
      </c>
      <c r="M21" s="6" t="inlineStr">
        <is>
          <t>ب</t>
        </is>
      </c>
      <c r="N21" s="6" t="inlineStr">
        <is>
          <t>نعم</t>
        </is>
      </c>
      <c r="O21" s="6" t="inlineStr">
        <is>
          <t>يشير إلى مدارسة جبريل للنبي ﷺ القرآن كل عام (البخاري) دون نصه</t>
        </is>
      </c>
      <c r="P21" s="6" t="inlineStr">
        <is>
          <t>نعم</t>
        </is>
      </c>
      <c r="Q21" s="6" t="inlineStr">
        <is>
          <t>محمد — 2026-10-04</t>
        </is>
      </c>
      <c r="R21" s="6">
        <f>IF(للمختص!H5="","",للمختص!H5)</f>
        <v/>
      </c>
      <c r="S21" s="6" t="inlineStr">
        <is>
          <t>معتمد</t>
        </is>
      </c>
      <c r="T21" s="6" t="inlineStr">
        <is>
          <t>يعرض خلافا ويرجح قول الجمهور: تحقق من فحص 7. حساس.</t>
        </is>
      </c>
      <c r="U21" s="9">
        <f>IF(A21="","",IF(J21="","لم يُستخرج بعد",IF(OR(M21="ج",M21="د"),"المستوى لا يُنشر",IF(OR(IFERROR(INDEX(المصادر!$E$2:$E$20,MATCH(D21,المصادر!$A$2:$A$20,0)),"")&lt;&gt;"معروضة",IFERROR(INDEX(المصادر!$F$2:$F$20,MATCH(D21,المصادر!$A$2:$A$20,0)),"")&lt;&gt;"نعم"),"المصدر غير معتمد",IF(OR(B21="",E21="",K21="",M21="",N21=""),"بيانات ناقصة",IF(P21&lt;&gt;"نعم","لم يجتز الفحوص",IF(Q21="","المراجعة غير موثقة",IF(AND(N21="نعم",R21="موافق بتعديل"),"بانتظار تنفيذ التعديل",IF(AND(N21="نعم",R21&lt;&gt;"موافق"),"بانتظار رأي المختص",IF(S21&lt;&gt;"معتمد","لم يُعتمد","قابل للنشر"))))))))))</f>
        <v/>
      </c>
      <c r="V21" s="5" t="inlineStr">
        <is>
          <t>مقطع أساسي في مسألة خلافية: هل ترتيب السور توقيفي أم اجتهادي. الجملة الأولى تقطع بأن «ترتيب الآيات والسور كان وفق إرادة الله وحده»، ثم يذكر المقطع الخلاف في ترتيب السور ويرجّح قول الجمهور، ثم يفترض تدخل الصحابة. هذا قد يخالف الفحص 7 (لا قطع في مسألة خلافية).</t>
        </is>
      </c>
    </row>
    <row r="22" ht="120" customHeight="1">
      <c r="A22" s="8" t="inlineStr">
        <is>
          <t>ق-28</t>
        </is>
      </c>
      <c r="B22" s="5" t="inlineStr">
        <is>
          <t>ح4</t>
        </is>
      </c>
      <c r="C22" s="5" t="inlineStr">
        <is>
          <t>إضافي</t>
        </is>
      </c>
      <c r="D22" s="6" t="inlineStr">
        <is>
          <t>م-01</t>
        </is>
      </c>
      <c r="E22" s="6" t="inlineStr">
        <is>
          <t>المسألة (53)، ص246–ص246 — مختصر الإجابة</t>
        </is>
      </c>
      <c r="F22" s="5" t="inlineStr">
        <is>
          <t>ادعاء أن آيات القرآن وسوره غير مرتبة.</t>
        </is>
      </c>
      <c r="G22" s="5"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2" s="5" t="inlineStr">
        <is>
          <t>لماذا ترتيب القرآن وتنظيمه وترتيب مواضيعه، ليس مثل الكتب المرتبة موضوعيا أو زمنيا؟</t>
        </is>
      </c>
      <c r="I22" s="5" t="inlineStr">
        <is>
          <t>—</t>
        </is>
      </c>
      <c r="J22"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2" s="6" t="inlineStr">
        <is>
          <t>يبين أن ترتيب القرآن غير الموضوعي له حكمة، وأن مزج الموضوعات في السورة الواحدة من كماله لا نقصه.</t>
        </is>
      </c>
      <c r="L22" s="6" t="inlineStr">
        <is>
          <t>لماذا لا يُقسَّم القرآن إلى فصول؟ | لماذا تتنقل السورة بين موضوعات مختلفة؟</t>
        </is>
      </c>
      <c r="M22" s="6" t="inlineStr">
        <is>
          <t>ب</t>
        </is>
      </c>
      <c r="N22" s="6" t="inlineStr">
        <is>
          <t>لا</t>
        </is>
      </c>
      <c r="O22" s="6" t="inlineStr">
        <is>
          <t>—</t>
        </is>
      </c>
      <c r="P22" s="6" t="inlineStr">
        <is>
          <t>نعم</t>
        </is>
      </c>
      <c r="Q22" s="6" t="inlineStr">
        <is>
          <t>محمد — 2026-10-04</t>
        </is>
      </c>
      <c r="R22" s="6" t="inlineStr"/>
      <c r="S22" s="6" t="inlineStr">
        <is>
          <t>معتمد</t>
        </is>
      </c>
      <c r="T22" s="6" t="inlineStr">
        <is>
          <t>الجملة الأخيرة «وقد ظنه السائل...» تخاطب سائل الشبهة؛ قد تحذفها (حذف آخر الجملة يُسجَّل).</t>
        </is>
      </c>
      <c r="U22" s="9">
        <f>IF(A22="","",IF(J22="","لم يُستخرج بعد",IF(OR(M22="ج",M22="د"),"المستوى لا يُنشر",IF(OR(IFERROR(INDEX(المصادر!$E$2:$E$20,MATCH(D22,المصادر!$A$2:$A$20,0)),"")&lt;&gt;"معروضة",IFERROR(INDEX(المصادر!$F$2:$F$20,MATCH(D22,المصادر!$A$2:$A$20,0)),"")&lt;&gt;"نعم"),"المصدر غير معتمد",IF(OR(B22="",E22="",K22="",M22="",N22=""),"بيانات ناقصة",IF(P22&lt;&gt;"نعم","لم يجتز الفحوص",IF(Q22="","المراجعة غير موثقة",IF(AND(N22="نعم",R22="موافق بتعديل"),"بانتظار تنفيذ التعديل",IF(AND(N22="نعم",R22&lt;&gt;"موافق"),"بانتظار رأي المختص",IF(S22&lt;&gt;"معتمد","لم يُعتمد","قابل للنشر"))))))))))</f>
        <v/>
      </c>
    </row>
    <row r="23" ht="30" customHeight="1">
      <c r="A23" s="8" t="inlineStr">
        <is>
          <t>ق-18</t>
        </is>
      </c>
      <c r="B23" s="5" t="inlineStr">
        <is>
          <t>ح6</t>
        </is>
      </c>
      <c r="C23" s="5" t="inlineStr">
        <is>
          <t>أساسي</t>
        </is>
      </c>
      <c r="D23" s="6" t="inlineStr">
        <is>
          <t>م-04</t>
        </is>
      </c>
      <c r="E23" s="6" t="inlineStr"/>
      <c r="F23" s="5" t="inlineStr"/>
      <c r="G23" s="5" t="inlineStr"/>
      <c r="H23" s="5" t="inlineStr"/>
      <c r="I23" s="5" t="inlineStr"/>
      <c r="J23" s="6" t="inlineStr"/>
      <c r="K23" s="6" t="inlineStr">
        <is>
          <t>من أين يبدأ المبتدئ القراءة</t>
        </is>
      </c>
      <c r="L23" s="6" t="inlineStr"/>
      <c r="M23" s="6" t="inlineStr"/>
      <c r="N23" s="6" t="inlineStr"/>
      <c r="O23" s="6" t="inlineStr"/>
      <c r="P23" s="6" t="inlineStr"/>
      <c r="Q23" s="6" t="inlineStr"/>
      <c r="R23" s="6" t="inlineStr"/>
      <c r="S23" s="6" t="inlineStr">
        <is>
          <t>لم يُستخرج</t>
        </is>
      </c>
      <c r="T23" s="6" t="inlineStr"/>
      <c r="U23" s="9">
        <f>IF(A23="","",IF(J23="","لم يُستخرج بعد",IF(OR(M23="ج",M23="د"),"المستوى لا يُنشر",IF(OR(IFERROR(INDEX(المصادر!$E$2:$E$20,MATCH(D23,المصادر!$A$2:$A$20,0)),"")&lt;&gt;"معروضة",IFERROR(INDEX(المصادر!$F$2:$F$20,MATCH(D23,المصادر!$A$2:$A$20,0)),"")&lt;&gt;"نعم"),"المصدر غير معتمد",IF(OR(B23="",E23="",K23="",M23="",N23=""),"بيانات ناقصة",IF(P23&lt;&gt;"نعم","لم يجتز الفحوص",IF(Q23="","المراجعة غير موثقة",IF(AND(N23="نعم",R23="موافق بتعديل"),"بانتظار تنفيذ التعديل",IF(AND(N23="نعم",R23&lt;&gt;"موافق"),"بانتظار رأي المختص",IF(S23&lt;&gt;"معتمد","لم يُعتمد","قابل للنشر"))))))))))</f>
        <v/>
      </c>
    </row>
    <row r="24" ht="30" customHeight="1">
      <c r="A24" s="8" t="inlineStr">
        <is>
          <t>ق-19</t>
        </is>
      </c>
      <c r="B24" s="5" t="inlineStr">
        <is>
          <t>ح6</t>
        </is>
      </c>
      <c r="C24" s="5" t="inlineStr">
        <is>
          <t>أساسي</t>
        </is>
      </c>
      <c r="D24" s="6" t="inlineStr">
        <is>
          <t>م-04</t>
        </is>
      </c>
      <c r="E24" s="6" t="inlineStr"/>
      <c r="F24" s="5" t="inlineStr"/>
      <c r="G24" s="5" t="inlineStr"/>
      <c r="H24" s="5" t="inlineStr"/>
      <c r="I24" s="5" t="inlineStr"/>
      <c r="J24" s="6" t="inlineStr"/>
      <c r="K24" s="6" t="inlineStr">
        <is>
          <t>فهم المعنى بتفسير مختصر موثوق</t>
        </is>
      </c>
      <c r="L24" s="6" t="inlineStr"/>
      <c r="M24" s="6" t="inlineStr"/>
      <c r="N24" s="6" t="inlineStr"/>
      <c r="O24" s="6" t="inlineStr"/>
      <c r="P24" s="6" t="inlineStr"/>
      <c r="Q24" s="6" t="inlineStr"/>
      <c r="R24" s="6" t="inlineStr"/>
      <c r="S24" s="6" t="inlineStr">
        <is>
          <t>لم يُستخرج</t>
        </is>
      </c>
      <c r="T24" s="6" t="inlineStr"/>
      <c r="U24" s="9">
        <f>IF(A24="","",IF(J24="","لم يُستخرج بعد",IF(OR(M24="ج",M24="د"),"المستوى لا يُنشر",IF(OR(IFERROR(INDEX(المصادر!$E$2:$E$20,MATCH(D24,المصادر!$A$2:$A$20,0)),"")&lt;&gt;"معروضة",IFERROR(INDEX(المصادر!$F$2:$F$20,MATCH(D24,المصادر!$A$2:$A$20,0)),"")&lt;&gt;"نعم"),"المصدر غير معتمد",IF(OR(B24="",E24="",K24="",M24="",N24=""),"بيانات ناقصة",IF(P24&lt;&gt;"نعم","لم يجتز الفحوص",IF(Q24="","المراجعة غير موثقة",IF(AND(N24="نعم",R24="موافق بتعديل"),"بانتظار تنفيذ التعديل",IF(AND(N24="نعم",R24&lt;&gt;"موافق"),"بانتظار رأي المختص",IF(S24&lt;&gt;"معتمد","لم يُعتمد","قابل للنشر"))))))))))</f>
        <v/>
      </c>
    </row>
    <row r="25" ht="30" customHeight="1">
      <c r="A25" s="8" t="inlineStr">
        <is>
          <t>ق-20</t>
        </is>
      </c>
      <c r="B25" s="5" t="inlineStr">
        <is>
          <t>ح6</t>
        </is>
      </c>
      <c r="C25" s="5" t="inlineStr">
        <is>
          <t>أساسي</t>
        </is>
      </c>
      <c r="D25" s="6" t="inlineStr">
        <is>
          <t>م-04</t>
        </is>
      </c>
      <c r="E25" s="6" t="inlineStr"/>
      <c r="F25" s="5" t="inlineStr"/>
      <c r="G25" s="5" t="inlineStr"/>
      <c r="H25" s="5" t="inlineStr"/>
      <c r="I25" s="5" t="inlineStr"/>
      <c r="J25" s="6" t="inlineStr"/>
      <c r="K25" s="6" t="inlineStr">
        <is>
          <t>الفرق بين نص القرآن وتفسيره وترجمة معانيه</t>
        </is>
      </c>
      <c r="L25" s="6" t="inlineStr"/>
      <c r="M25" s="6" t="inlineStr"/>
      <c r="N25" s="6" t="inlineStr"/>
      <c r="O25" s="6" t="inlineStr"/>
      <c r="P25" s="6" t="inlineStr"/>
      <c r="Q25" s="6" t="inlineStr"/>
      <c r="R25" s="6" t="inlineStr"/>
      <c r="S25" s="6" t="inlineStr">
        <is>
          <t>لم يُستخرج</t>
        </is>
      </c>
      <c r="T25" s="6" t="inlineStr"/>
      <c r="U25" s="9">
        <f>IF(A25="","",IF(J25="","لم يُستخرج بعد",IF(OR(M25="ج",M25="د"),"المستوى لا يُنشر",IF(OR(IFERROR(INDEX(المصادر!$E$2:$E$20,MATCH(D25,المصادر!$A$2:$A$20,0)),"")&lt;&gt;"معروضة",IFERROR(INDEX(المصادر!$F$2:$F$20,MATCH(D25,المصادر!$A$2:$A$20,0)),"")&lt;&gt;"نعم"),"المصدر غير معتمد",IF(OR(B25="",E25="",K25="",M25="",N25=""),"بيانات ناقصة",IF(P25&lt;&gt;"نعم","لم يجتز الفحوص",IF(Q25="","المراجعة غير موثقة",IF(AND(N25="نعم",R25="موافق بتعديل"),"بانتظار تنفيذ التعديل",IF(AND(N25="نعم",R25&lt;&gt;"موافق"),"بانتظار رأي المختص",IF(S25&lt;&gt;"معتمد","لم يُعتمد","قابل للنشر"))))))))))</f>
        <v/>
      </c>
    </row>
    <row r="26" ht="120" customHeight="1">
      <c r="A26" s="8" t="inlineStr">
        <is>
          <t>ق-31</t>
        </is>
      </c>
      <c r="B26" s="5" t="inlineStr">
        <is>
          <t>ح6</t>
        </is>
      </c>
      <c r="C26" s="5" t="inlineStr">
        <is>
          <t>إضافي</t>
        </is>
      </c>
      <c r="D26" s="6" t="inlineStr">
        <is>
          <t>م-01</t>
        </is>
      </c>
      <c r="E26" s="6" t="inlineStr">
        <is>
          <t>المسألة (94)، ص423–ص424 — مختصر الإجابة</t>
        </is>
      </c>
      <c r="F26" s="5" t="inlineStr">
        <is>
          <t>عدم موافقة ترجمة القرآن لجميع معانيه.</t>
        </is>
      </c>
      <c r="G26" s="5"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26" s="5" t="inlineStr">
        <is>
          <t>لماذا لا تطابق ترجمة القرآن جميع معانيه؟</t>
        </is>
      </c>
      <c r="I26" s="5" t="inlineStr">
        <is>
          <t>—</t>
        </is>
      </c>
      <c r="J26"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26" s="6" t="inlineStr">
        <is>
          <t>يبين أن ترجمة معاني القرآن نوع من التفسير بلغة أخرى، تنقل ما فهمه المترجم لا نص القرآن نفسه.</t>
        </is>
      </c>
      <c r="L26" s="6" t="inlineStr">
        <is>
          <t>هل الترجمة هي القرآن؟ | هل أستطيع فهم القرآن من ترجمة؟</t>
        </is>
      </c>
      <c r="M26" s="6" t="inlineStr">
        <is>
          <t>ب</t>
        </is>
      </c>
      <c r="N26" s="6" t="inlineStr">
        <is>
          <t>لا</t>
        </is>
      </c>
      <c r="O26" s="6" t="inlineStr">
        <is>
          <t>—</t>
        </is>
      </c>
      <c r="P26" s="6" t="inlineStr">
        <is>
          <t>نعم</t>
        </is>
      </c>
      <c r="Q26" s="6" t="inlineStr">
        <is>
          <t>محمد — 2026-10-04</t>
        </is>
      </c>
      <c r="R26" s="6" t="inlineStr"/>
      <c r="S26" s="6" t="inlineStr">
        <is>
          <t>معتمد</t>
        </is>
      </c>
      <c r="T26" s="6" t="inlineStr">
        <is>
          <t>فيه إحالة «هذه الدعوى في السؤال». فائدته محدودة لجمهور عربي.</t>
        </is>
      </c>
      <c r="U26" s="9">
        <f>IF(A26="","",IF(J26="","لم يُستخرج بعد",IF(OR(M26="ج",M26="د"),"المستوى لا يُنشر",IF(OR(IFERROR(INDEX(المصادر!$E$2:$E$20,MATCH(D26,المصادر!$A$2:$A$20,0)),"")&lt;&gt;"معروضة",IFERROR(INDEX(المصادر!$F$2:$F$20,MATCH(D26,المصادر!$A$2:$A$20,0)),"")&lt;&gt;"نعم"),"المصدر غير معتمد",IF(OR(B26="",E26="",K26="",M26="",N26=""),"بيانات ناقصة",IF(P26&lt;&gt;"نعم","لم يجتز الفحوص",IF(Q26="","المراجعة غير موثقة",IF(AND(N26="نعم",R26="موافق بتعديل"),"بانتظار تنفيذ التعديل",IF(AND(N26="نعم",R26&lt;&gt;"موافق"),"بانتظار رأي المختص",IF(S26&lt;&gt;"معتمد","لم يُعتمد","قابل للنشر"))))))))))</f>
        <v/>
      </c>
    </row>
    <row r="27" ht="120" customHeight="1">
      <c r="A27" s="8" t="inlineStr">
        <is>
          <t>ق-23</t>
        </is>
      </c>
      <c r="B27" s="5" t="inlineStr">
        <is>
          <t>ح7</t>
        </is>
      </c>
      <c r="C27" s="5" t="inlineStr">
        <is>
          <t>أساسي</t>
        </is>
      </c>
      <c r="D27" s="6" t="inlineStr">
        <is>
          <t>م-01</t>
        </is>
      </c>
      <c r="E27" s="6" t="inlineStr">
        <is>
          <t>المسألة (84)، ص377–ص378 — مختصر الإجابة</t>
        </is>
      </c>
      <c r="F27" s="5" t="inlineStr">
        <is>
          <t>تحدى القرآن البشر أن يأتوا بمثله، مع وجود كلام في غاية البلاغة للبشر.</t>
        </is>
      </c>
      <c r="G27" s="5" t="inlineStr">
        <is>
          <t>تحدى القرآن البشر أن يأتوا بمثله، وقد رأينا في كلام كثير من الناس والشعراء غاية البلاغة؛ أفلا يستطيع هؤلاء أن يأتوا بمثل القرآن؟</t>
        </is>
      </c>
      <c r="H27" s="5" t="inlineStr">
        <is>
          <t>إعجاز القرآن. | القول بالصرفة. | القرآن تحدى بلغاء العرب.</t>
        </is>
      </c>
      <c r="I27" s="5" t="inlineStr">
        <is>
          <t>صاحب هذا السؤال يرى أن القرآن قد تحدى البشر أن يأتوا بمثله، والبلغاء والشعراء لهم كلام غاية في البلاغة؛ فهم يستطيعون أن يأتوا بمثله.</t>
        </is>
      </c>
      <c r="J27"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27" s="6" t="inlineStr">
        <is>
          <t>يبين أن القرآن تحدى العرب أن يأتوا بمثله فعجزوا مع بلاغتهم وعداوتهم، وأن إعجازه يشمل لفظه ومعانيه وأخباره وتشريعه.</t>
        </is>
      </c>
      <c r="L27" s="6" t="inlineStr">
        <is>
          <t>ما معنى أن القرآن معجز؟ | هل يستطيع أحد أن يأتي بمثل القرآن؟ | ما هو تحدي القرآن؟</t>
        </is>
      </c>
      <c r="M27" s="6" t="inlineStr">
        <is>
          <t>ب</t>
        </is>
      </c>
      <c r="N27" s="6" t="inlineStr">
        <is>
          <t>نعم</t>
        </is>
      </c>
      <c r="O27" s="6" t="inlineStr">
        <is>
          <t>البقرة 24 (جزء)؛ فصلت 42 — نُسخت من المطبوع بالرسم الإملائي، ويجب استبدالها بنص مصحف مجمع الملك فهد</t>
        </is>
      </c>
      <c r="P27" s="6" t="inlineStr">
        <is>
          <t>نعم</t>
        </is>
      </c>
      <c r="Q27" s="6" t="inlineStr">
        <is>
          <t>محمد — 2026-10-04</t>
        </is>
      </c>
      <c r="R27" s="6">
        <f>IF(للمختص!H6="","",للمختص!H6)</f>
        <v/>
      </c>
      <c r="S27" s="6" t="inlineStr">
        <is>
          <t>معتمد</t>
        </is>
      </c>
      <c r="T27" s="6" t="inlineStr">
        <is>
          <t>طويل؛ يمكن الاكتفاء بالفقرتين 2 و3 (تبدأ الثانية بـ«أما القرآن» فتحتاج قرارك). حساس.</t>
        </is>
      </c>
      <c r="U27" s="9">
        <f>IF(A27="","",IF(J27="","لم يُستخرج بعد",IF(OR(M27="ج",M27="د"),"المستوى لا يُنشر",IF(OR(IFERROR(INDEX(المصادر!$E$2:$E$20,MATCH(D27,المصادر!$A$2:$A$20,0)),"")&lt;&gt;"معروضة",IFERROR(INDEX(المصادر!$F$2:$F$20,MATCH(D27,المصادر!$A$2:$A$20,0)),"")&lt;&gt;"نعم"),"المصدر غير معتمد",IF(OR(B27="",E27="",K27="",M27="",N27=""),"بيانات ناقصة",IF(P27&lt;&gt;"نعم","لم يجتز الفحوص",IF(Q27="","المراجعة غير موثقة",IF(AND(N27="نعم",R27="موافق بتعديل"),"بانتظار تنفيذ التعديل",IF(AND(N27="نعم",R27&lt;&gt;"موافق"),"بانتظار رأي المختص",IF(S27&lt;&gt;"معتمد","لم يُعتمد","قابل للنشر"))))))))))</f>
        <v/>
      </c>
      <c r="V27" s="5" t="inlineStr">
        <is>
          <t>مقطع أساسي يجيب عن سؤال رسمي في المسابقة (التحدي وإعجاز القرآن). فيه آيتان مستشهد بهما، ويعدّد وجوه الإعجاز بصيغة قاطعة: «معجز في لفظه… في معانيه… في إخباره بالمغيبات… في تشريعه… في تأثيره على النفوس»، وفي عدّ بعضها (كالتشريع والتأثير) من وجوه الإعجاز المتحدّى بها خلافٌ بين أهل العلم. وفي العبارات المشابهة ذكر «القول بالصرفة».</t>
        </is>
      </c>
    </row>
    <row r="28" ht="120" customHeight="1">
      <c r="A28" s="8" t="inlineStr">
        <is>
          <t>ق-24</t>
        </is>
      </c>
      <c r="B28" s="5" t="inlineStr">
        <is>
          <t>ح7</t>
        </is>
      </c>
      <c r="C28" s="5" t="inlineStr">
        <is>
          <t>أساسي</t>
        </is>
      </c>
      <c r="D28" s="6" t="inlineStr">
        <is>
          <t>م-01</t>
        </is>
      </c>
      <c r="E28" s="6" t="inlineStr">
        <is>
          <t>المسألة (27)، ص135–ص135 — مختصر الإجابة</t>
        </is>
      </c>
      <c r="F28" s="5" t="inlineStr">
        <is>
          <t>ادعاء أن القرآن مصدره البشر.</t>
        </is>
      </c>
      <c r="G28" s="5" t="inlineStr">
        <is>
          <t>لماذا لا يكون القرآن من وضع البشر، أو يكون من تأليف النبي ﷺ نفسه، وقد جاءت آية في القرآن تنص على ذلك: ﴿إنه لقول رسول كريم﴾ [الحاقة: 40]؟</t>
        </is>
      </c>
      <c r="H28" s="5" t="inlineStr">
        <is>
          <t>مصدر القرآن الكريم. | القرآن كلام الله.</t>
        </is>
      </c>
      <c r="I28" s="5" t="inlineStr">
        <is>
          <t>حول مصدر القرآن، وادعاء بعض المشككين: أنه يمكن أن يكون مصدر القرآن بشرا.</t>
        </is>
      </c>
      <c r="J28"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28" s="6" t="inlineStr">
        <is>
          <t>يذكر أربعة أدلة مختصرة على أن القرآن ليس من تأليف بشر، منها ورود عتاب للنبي ﷺ في بعض الآيات.</t>
        </is>
      </c>
      <c r="L28" s="6" t="inlineStr">
        <is>
          <t>هل ألّف النبي القرآن؟ | لماذا لا يكون القرآن من كلام محمد؟ | كيف نعرف أن القرآن ليس من البشر؟</t>
        </is>
      </c>
      <c r="M28" s="6" t="inlineStr">
        <is>
          <t>ب</t>
        </is>
      </c>
      <c r="N28" s="6" t="inlineStr">
        <is>
          <t>نعم</t>
        </is>
      </c>
      <c r="O28" s="6" t="inlineStr">
        <is>
          <t>لا يوجد في المقطع (آية الحاقة 40 في نص السؤال فقط); آية في السؤال المصدري</t>
        </is>
      </c>
      <c r="P28" s="6" t="inlineStr">
        <is>
          <t>نعم</t>
        </is>
      </c>
      <c r="Q28" s="6" t="inlineStr">
        <is>
          <t>محمد — 2026-10-04</t>
        </is>
      </c>
      <c r="R28" s="6">
        <f>IF(للمختص!H7="","",للمختص!H7)</f>
        <v/>
      </c>
      <c r="S28" s="6" t="inlineStr">
        <is>
          <t>معتمد</t>
        </is>
      </c>
      <c r="T28" s="6" t="inlineStr">
        <is>
          <t>يذكر «الإعجاز العلمي» ضمن قائمة (خارج نطاقنا كموضوع؛ ذِكره هنا عابر). حساس.</t>
        </is>
      </c>
      <c r="U28" s="9">
        <f>IF(A28="","",IF(J28="","لم يُستخرج بعد",IF(OR(M28="ج",M28="د"),"المستوى لا يُنشر",IF(OR(IFERROR(INDEX(المصادر!$E$2:$E$20,MATCH(D28,المصادر!$A$2:$A$20,0)),"")&lt;&gt;"معروضة",IFERROR(INDEX(المصادر!$F$2:$F$20,MATCH(D28,المصادر!$A$2:$A$20,0)),"")&lt;&gt;"نعم"),"المصدر غير معتمد",IF(OR(B28="",E28="",K28="",M28="",N28=""),"بيانات ناقصة",IF(P28&lt;&gt;"نعم","لم يجتز الفحوص",IF(Q28="","المراجعة غير موثقة",IF(AND(N28="نعم",R28="موافق بتعديل"),"بانتظار تنفيذ التعديل",IF(AND(N28="نعم",R28&lt;&gt;"موافق"),"بانتظار رأي المختص",IF(S28&lt;&gt;"معتمد","لم يُعتمد","قابل للنشر"))))))))))</f>
        <v/>
      </c>
      <c r="V28" s="5" t="inlineStr">
        <is>
          <t>مقطع أساسي لسؤال رسمي: «هل القرآن من تأليف محمد ﷺ؟». البند 2 يذكر «الإعجاز العلمي» دليلاً، ونحن استبعدنا الإعجاز العلمي من نطاق المنتج ونمتنع عنه إن سُئل، فيظهر تعارض أمام السائل. البند 3 يذكر «عتاب النبي ﷺ في بعض الآيات» دون ذكرها، فقد يسأل المستخدم عنها ونحن لا نفسّر الآيات. والبند 1 يصف «عقلاء المشركين – من أهل الكتاب ومن غيرهم».</t>
        </is>
      </c>
    </row>
    <row r="29" ht="120" customHeight="1">
      <c r="A29" s="8" t="inlineStr">
        <is>
          <t>ق-25</t>
        </is>
      </c>
      <c r="B29" s="5" t="inlineStr">
        <is>
          <t>ح7</t>
        </is>
      </c>
      <c r="C29" s="5" t="inlineStr">
        <is>
          <t>إضافي</t>
        </is>
      </c>
      <c r="D29" s="6" t="inlineStr">
        <is>
          <t>م-01</t>
        </is>
      </c>
      <c r="E29" s="6" t="inlineStr">
        <is>
          <t>المسألة (25)، ص126–ص127 — مختصر الإجابة</t>
        </is>
      </c>
      <c r="F29" s="5" t="inlineStr">
        <is>
          <t>ادعاء أن القرآن مصدره الكتب السابقة.</t>
        </is>
      </c>
      <c r="G29" s="5" t="inlineStr">
        <is>
          <t>مصدر القرآن لم يكن وحيا من الله تعالى، بل هو مقتبس من الكتب السابقة.</t>
        </is>
      </c>
      <c r="H29" s="5" t="inlineStr">
        <is>
          <t>مصدر القرآن الكريم. | القرآن كلام الله. | الكتب السابقة.</t>
        </is>
      </c>
      <c r="I29" s="5" t="inlineStr">
        <is>
          <t>حول مصدر القرآن وعلاقته بالكتب السابقة؛ من حيث المضمون والأسلوب.</t>
        </is>
      </c>
      <c r="J29"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29" s="6" t="inlineStr">
        <is>
          <t>يعرّف الاقتباس ويبين أنه لا ينطبق على القرآن، لأنه يختلف عن الكتب السابقة في مضمونه وأسلوبه.</t>
        </is>
      </c>
      <c r="L29" s="6" t="inlineStr">
        <is>
          <t>هل نقل محمد القرآن من التوراة والإنجيل؟ | لماذا تتشابه قصص القرآن مع الكتب السابقة؟ | هل القرآن مقتبس؟</t>
        </is>
      </c>
      <c r="M29" s="6" t="inlineStr">
        <is>
          <t>ب</t>
        </is>
      </c>
      <c r="N29" s="6" t="inlineStr">
        <is>
          <t>نعم</t>
        </is>
      </c>
      <c r="O29" s="6" t="inlineStr">
        <is>
          <t>—</t>
        </is>
      </c>
      <c r="P29" s="6" t="inlineStr">
        <is>
          <t>نعم</t>
        </is>
      </c>
      <c r="Q29" s="6" t="inlineStr">
        <is>
          <t>محمد — 2026-10-04</t>
        </is>
      </c>
      <c r="R29" s="6">
        <f>IF(للمختص!H10="","",للمختص!H10)</f>
        <v/>
      </c>
      <c r="S29" s="6" t="inlineStr">
        <is>
          <t>معتمد</t>
        </is>
      </c>
      <c r="T29" s="6" t="inlineStr">
        <is>
          <t>أوقفت المقطع قبل «ومن أمثلة ذلك:» لأن الأمثلة مقارنة تفصيلية بالعهد القديم (ص127). إن أردت ضمها فهي في الصفحة نفسها. حساس.</t>
        </is>
      </c>
      <c r="U29" s="9">
        <f>IF(A29="","",IF(J29="","لم يُستخرج بعد",IF(OR(M29="ج",M29="د"),"المستوى لا يُنشر",IF(OR(IFERROR(INDEX(المصادر!$E$2:$E$20,MATCH(D29,المصادر!$A$2:$A$20,0)),"")&lt;&gt;"معروضة",IFERROR(INDEX(المصادر!$F$2:$F$20,MATCH(D29,المصادر!$A$2:$A$20,0)),"")&lt;&gt;"نعم"),"المصدر غير معتمد",IF(OR(B29="",E29="",K29="",M29="",N29=""),"بيانات ناقصة",IF(P29&lt;&gt;"نعم","لم يجتز الفحوص",IF(Q29="","المراجعة غير موثقة",IF(AND(N29="نعم",R29="موافق بتعديل"),"بانتظار تنفيذ التعديل",IF(AND(N29="نعم",R29&lt;&gt;"موافق"),"بانتظار رأي المختص",IF(S29&lt;&gt;"معتمد","لم يُعتمد","قابل للنشر"))))))))))</f>
        <v/>
      </c>
      <c r="V29" s="5" t="inlineStr">
        <is>
          <t>مقارنة بين القرآن والكتب السابقة («العهد القديم»)، وهو موضوع حساس بين الأديان، وجمهورنا يشمل غير المسلمين. يبدأ بتعريف «الاقتباس» دون مصدر لهذا التعريف، ويقرر أن بين القصص «بوناً شاسعاً».</t>
        </is>
      </c>
    </row>
    <row r="30" ht="120" customHeight="1">
      <c r="A30" s="8" t="inlineStr">
        <is>
          <t>ق-26</t>
        </is>
      </c>
      <c r="B30" s="5" t="inlineStr">
        <is>
          <t>ح7</t>
        </is>
      </c>
      <c r="C30" s="5" t="inlineStr">
        <is>
          <t>إضافي</t>
        </is>
      </c>
      <c r="D30" s="6" t="inlineStr">
        <is>
          <t>م-01</t>
        </is>
      </c>
      <c r="E30" s="6" t="inlineStr">
        <is>
          <t>المسألة (26)، ص131–ص131 — مختصر الإجابة</t>
        </is>
      </c>
      <c r="F30" s="5" t="inlineStr">
        <is>
          <t>ادعاء أن القرآن وثيقة قديمة.</t>
        </is>
      </c>
      <c r="G30" s="5" t="inlineStr">
        <is>
          <t>يقال: إن محمدا وجد وثيقة قديمة، فقام بتعديلها، ثم سماها قرآنا.</t>
        </is>
      </c>
      <c r="H30" s="5" t="inlineStr">
        <is>
          <t>مصدر القرآن الكريم. | القرآن كلام الله. | الكتب السابقة.</t>
        </is>
      </c>
      <c r="I30" s="5" t="inlineStr">
        <is>
          <t>يدور السؤال حول مصدر القرآن، وادعاء كون أصله وثيقة سابقة وجدها النبي ﷺ، فقام بتعديلها، وسماها قرآنا.</t>
        </is>
      </c>
      <c r="J30"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0" s="6" t="inlineStr">
        <is>
          <t>يرد على القول بأن القرآن وثيقة قديمة، بتوافقه مع أسباب النزول، وانتظار النبي ﷺ الوحي أحيانا، وإخباره بأمور مستقبلية تحققت.</t>
        </is>
      </c>
      <c r="L30" s="6" t="inlineStr">
        <is>
          <t>هل وجد النبي القرآن مكتوبا؟ | هل كان النبي ينتظر الوحي؟</t>
        </is>
      </c>
      <c r="M30" s="6" t="inlineStr">
        <is>
          <t>ب</t>
        </is>
      </c>
      <c r="N30" s="6" t="inlineStr">
        <is>
          <t>نعم</t>
        </is>
      </c>
      <c r="O30" s="6" t="inlineStr">
        <is>
          <t>يشير إلى حادثة الإفك دون نص</t>
        </is>
      </c>
      <c r="P30" s="6" t="inlineStr">
        <is>
          <t>نعم</t>
        </is>
      </c>
      <c r="Q30" s="6" t="inlineStr">
        <is>
          <t>محمد — 2026-10-04</t>
        </is>
      </c>
      <c r="R30" s="6">
        <f>IF(للمختص!H11="","",للمختص!H11)</f>
        <v/>
      </c>
      <c r="S30" s="6" t="inlineStr">
        <is>
          <t>معتمد</t>
        </is>
      </c>
      <c r="T30" s="6" t="inlineStr">
        <is>
          <t>لا يوجد في بينات مقطع مباشر عن حال النبي ﷺ قبل البعثة؛ هذا أقرب ما وجدته. يذكر «الحقائق العلمية» عرضا.</t>
        </is>
      </c>
      <c r="U30" s="9">
        <f>IF(A30="","",IF(J30="","لم يُستخرج بعد",IF(OR(M30="ج",M30="د"),"المستوى لا يُنشر",IF(OR(IFERROR(INDEX(المصادر!$E$2:$E$20,MATCH(D30,المصادر!$A$2:$A$20,0)),"")&lt;&gt;"معروضة",IFERROR(INDEX(المصادر!$F$2:$F$20,MATCH(D30,المصادر!$A$2:$A$20,0)),"")&lt;&gt;"نعم"),"المصدر غير معتمد",IF(OR(B30="",E30="",K30="",M30="",N30=""),"بيانات ناقصة",IF(P30&lt;&gt;"نعم","لم يجتز الفحوص",IF(Q30="","المراجعة غير موثقة",IF(AND(N30="نعم",R30="موافق بتعديل"),"بانتظار تنفيذ التعديل",IF(AND(N30="نعم",R30&lt;&gt;"موافق"),"بانتظار رأي المختص",IF(S30&lt;&gt;"معتمد","لم يُعتمد","قابل للنشر"))))))))))</f>
        <v/>
      </c>
      <c r="V30" s="5" t="inlineStr">
        <is>
          <t>يصف القول المخالف بأنه «مجرد افتراء»، ويشير إلى «حادثة الإفك» دون سياق، ويذكر «الحقائق العلمية» ضمن الأدلة (والإعجاز العلمي خارج نطاقنا).</t>
        </is>
      </c>
    </row>
    <row r="31" ht="120" customHeight="1">
      <c r="A31" s="8" t="inlineStr">
        <is>
          <t>ق-27</t>
        </is>
      </c>
      <c r="B31" s="5" t="inlineStr">
        <is>
          <t>ح7</t>
        </is>
      </c>
      <c r="C31" s="5" t="inlineStr">
        <is>
          <t>إضافي</t>
        </is>
      </c>
      <c r="D31" s="6" t="inlineStr">
        <is>
          <t>م-01</t>
        </is>
      </c>
      <c r="E31" s="6" t="inlineStr">
        <is>
          <t>المسألة (29)، ص143–ص143 — مختصر الإجابة</t>
        </is>
      </c>
      <c r="F31" s="5" t="inlineStr">
        <is>
          <t>ادعاء الاستطاعة بإيجاد مثل علوم القرآن ومعارفه لبعض النابغين ذوي المواهب من الناس.</t>
        </is>
      </c>
      <c r="G31" s="5" t="inlineStr">
        <is>
          <t>هل يصح القول بأن ما في القرآن من علوم ومعارف ما هي إلا آثار لمواهب بعض النابغين من الناس، وهذه المواهب وآثارها وجدت، ويمكن أن توجد في كل أمة؟</t>
        </is>
      </c>
      <c r="H31" s="5" t="inlineStr">
        <is>
          <t>هل يمكن للنابغين والموهوبين الإتيان بمثل ما في القرآن من علوم ومعارف؟</t>
        </is>
      </c>
      <c r="I31" s="5" t="inlineStr">
        <is>
          <t>—</t>
        </is>
      </c>
      <c r="J31"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1" s="6" t="inlineStr">
        <is>
          <t>يبين أن ذكاء البشر ومواهبهم مهما بلغت لا تصل إلى ما في القرآن من إعجاز وعلوم تهدي إلى الحق.</t>
        </is>
      </c>
      <c r="L31" s="6" t="inlineStr">
        <is>
          <t>ألا يمكن أن يكون القرآن من عبقري؟ | هل يستطيع شخص ذكي أن يكتب مثل القرآن؟</t>
        </is>
      </c>
      <c r="M31" s="6" t="inlineStr">
        <is>
          <t>ب</t>
        </is>
      </c>
      <c r="N31" s="6" t="inlineStr">
        <is>
          <t>نعم</t>
        </is>
      </c>
      <c r="O31" s="6" t="inlineStr">
        <is>
          <t>لا يوجد في الفقرات المختارة</t>
        </is>
      </c>
      <c r="P31" s="6" t="inlineStr">
        <is>
          <t>نعم</t>
        </is>
      </c>
      <c r="Q31" s="6" t="inlineStr">
        <is>
          <t>محمد — 2026-10-04</t>
        </is>
      </c>
      <c r="R31" s="6">
        <f>IF(للمختص!H12="","",للمختص!H12)</f>
        <v/>
      </c>
      <c r="S31" s="6" t="inlineStr">
        <is>
          <t>معتمد</t>
        </is>
      </c>
      <c r="T31" s="6" t="inlineStr">
        <is>
          <t>يبدأ بـ«ينقض هذا الادعاء» وهي إحالة لسؤال سابق: يُعرض مع السؤال أو يُستبعد (معيار البداية). المختصر يكمل بأمثلة في ص143–144 لم أنقلها.</t>
        </is>
      </c>
      <c r="U31" s="9">
        <f>IF(A31="","",IF(J31="","لم يُستخرج بعد",IF(OR(M31="ج",M31="د"),"المستوى لا يُنشر",IF(OR(IFERROR(INDEX(المصادر!$E$2:$E$20,MATCH(D31,المصادر!$A$2:$A$20,0)),"")&lt;&gt;"معروضة",IFERROR(INDEX(المصادر!$F$2:$F$20,MATCH(D31,المصادر!$A$2:$A$20,0)),"")&lt;&gt;"نعم"),"المصدر غير معتمد",IF(OR(B31="",E31="",K31="",M31="",N31=""),"بيانات ناقصة",IF(P31&lt;&gt;"نعم","لم يجتز الفحوص",IF(Q31="","المراجعة غير موثقة",IF(AND(N31="نعم",R31="موافق بتعديل"),"بانتظار تنفيذ التعديل",IF(AND(N31="نعم",R31&lt;&gt;"موافق"),"بانتظار رأي المختص",IF(S31&lt;&gt;"معتمد","لم يُعتمد","قابل للنشر"))))))))))</f>
        <v/>
      </c>
      <c r="V31" s="5" t="inlineStr">
        <is>
          <t>يقرر أن المعجزات «من خصائص الربوبية»، وهي صياغة عقدية تحتاج إقراراً. ويذكر «الإعجاز العلمي» ضمن الأدلة، ويبدأ بعبارة «ينقض هذا الادعاء» التي تحيل إلى السؤال.</t>
        </is>
      </c>
    </row>
  </sheetData>
  <autoFilter ref="A1:V31"/>
  <conditionalFormatting sqref="N2:N60">
    <cfRule type="expression" priority="1" dxfId="0">
      <formula>$N2="نعم"</formula>
    </cfRule>
  </conditionalFormatting>
  <conditionalFormatting sqref="U2:U60">
    <cfRule type="expression" priority="2" dxfId="1">
      <formula>$U2="قابل للنشر"</formula>
    </cfRule>
  </conditionalFormatting>
  <dataValidations count="7">
    <dataValidation sqref="B2:B60" showDropDown="0" showInputMessage="0" showErrorMessage="0" allowBlank="1" type="list">
      <formula1>"ح1,ح2,ح3,ح4,ح5,ح6,ح7"</formula1>
    </dataValidation>
    <dataValidation sqref="C2:C60" showDropDown="0" showInputMessage="0" showErrorMessage="0" allowBlank="1" type="list">
      <formula1>"أساسي,إضافي"</formula1>
    </dataValidation>
    <dataValidation sqref="M2:M60" showDropDown="0" showInputMessage="0" showErrorMessage="0" allowBlank="1" type="list">
      <formula1>"أ,ب,ج,د"</formula1>
    </dataValidation>
    <dataValidation sqref="N2:N60" showDropDown="0" showInputMessage="0" showErrorMessage="0" allowBlank="1" type="list">
      <formula1>"نعم,لا"</formula1>
    </dataValidation>
    <dataValidation sqref="P2:P60" showDropDown="0" showInputMessage="0" showErrorMessage="0" allowBlank="1" type="list">
      <formula1>"نعم,لا"</formula1>
    </dataValidation>
    <dataValidation sqref="R2:R60" showDropDown="0" showInputMessage="0" showErrorMessage="0" allowBlank="1" type="list">
      <formula1>"موافق,موافق بتعديل,غير موافق"</formula1>
    </dataValidation>
    <dataValidation sqref="S2:S60" showDropDown="0" showInputMessage="0" showErrorMessage="0" allowBlank="1" type="list">
      <formula1>"لم يُستخرج,جاهز للمراجعة,معتمد,مرفوض"</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80" customWidth="1" min="3" max="3"/>
    <col width="12" customWidth="1" min="4" max="4"/>
    <col width="12" customWidth="1" min="5" max="5"/>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الحالة</t>
        </is>
      </c>
    </row>
    <row r="2">
      <c r="A2" s="5" t="inlineStr">
        <is>
          <t>و-01</t>
        </is>
      </c>
      <c r="B2" s="5" t="inlineStr">
        <is>
          <t>أعلى كل صفحة</t>
        </is>
      </c>
      <c r="C2" s="6" t="inlineStr">
        <is>
          <t>«دليل» أداة تستعين بالذكاء الاصطناعي لتختار لك مقطعاً من مصادر إسلامية معتمدة راجعها مختص. لا تكتب إجابات من عندها، وقد تخطئ في الاختيار.</t>
        </is>
      </c>
      <c r="D2" s="5" t="inlineStr">
        <is>
          <t>نعم</t>
        </is>
      </c>
      <c r="E2" s="6" t="inlineStr">
        <is>
          <t>مسودة</t>
        </is>
      </c>
    </row>
    <row r="3">
      <c r="A3" s="5" t="inlineStr">
        <is>
          <t>و-02</t>
        </is>
      </c>
      <c r="B3" s="5" t="inlineStr">
        <is>
          <t>بعد كل جزء معروض</t>
        </is>
      </c>
      <c r="C3" s="6" t="inlineStr">
        <is>
          <t>هل أجاب هذا عن سؤالك؟  [نعم] [جزئياً] [لا]</t>
        </is>
      </c>
      <c r="D3" s="5" t="inlineStr">
        <is>
          <t>لا</t>
        </is>
      </c>
      <c r="E3" s="6" t="inlineStr">
        <is>
          <t>مسودة</t>
        </is>
      </c>
    </row>
    <row r="4">
      <c r="A4" s="5" t="inlineStr">
        <is>
          <t>و-03</t>
        </is>
      </c>
      <c r="B4" s="5" t="inlineStr">
        <is>
          <t>بعد «جزئياً»</t>
        </is>
      </c>
      <c r="C4" s="6" t="inlineStr">
        <is>
          <t>ما الذي بقي دون إجابة؟ اكتبه بكلماتك.</t>
        </is>
      </c>
      <c r="D4" s="5" t="inlineStr">
        <is>
          <t>لا</t>
        </is>
      </c>
      <c r="E4" s="6" t="inlineStr">
        <is>
          <t>مسودة</t>
        </is>
      </c>
    </row>
    <row r="5">
      <c r="A5" s="5" t="inlineStr">
        <is>
          <t>و-04</t>
        </is>
      </c>
      <c r="B5" s="5" t="inlineStr">
        <is>
          <t>فوق كل مقطع (يُملأ من السجل)</t>
        </is>
      </c>
      <c r="C5" s="6" t="inlineStr">
        <is>
          <t>يجيب هذا المقطع عن: {يجيب_عن}</t>
        </is>
      </c>
      <c r="D5" s="5" t="inlineStr">
        <is>
          <t>لا</t>
        </is>
      </c>
      <c r="E5" s="6" t="inlineStr">
        <is>
          <t>مسودة</t>
        </is>
      </c>
    </row>
    <row r="6">
      <c r="A6" s="5" t="inlineStr">
        <is>
          <t>و-05</t>
        </is>
      </c>
      <c r="B6" s="5" t="inlineStr">
        <is>
          <t>تحت وصف «يجيب عن»</t>
        </is>
      </c>
      <c r="C6" s="6" t="inlineStr">
        <is>
          <t>وصف مساعد كُتب بمساعدة الذكاء الاصطناعي وراجعه صاحب المشروع. النص المعتمد هو المقتبس.</t>
        </is>
      </c>
      <c r="D6" s="5" t="inlineStr">
        <is>
          <t>لا</t>
        </is>
      </c>
      <c r="E6" s="6" t="inlineStr">
        <is>
          <t>مسودة</t>
        </is>
      </c>
    </row>
    <row r="7">
      <c r="A7" s="5" t="inlineStr">
        <is>
          <t>ست-01</t>
        </is>
      </c>
      <c r="B7" s="5" t="inlineStr">
        <is>
          <t>التباس بين ح1 وح7</t>
        </is>
      </c>
      <c r="C7" s="6" t="inlineStr">
        <is>
          <t>هل تريد تعريفاً بالقرآن ومكانته، أم الأسباب التي تجعل المسلمين يؤمنون أنه من عند الله؟</t>
        </is>
      </c>
      <c r="D7" s="5" t="inlineStr">
        <is>
          <t>نعم</t>
        </is>
      </c>
      <c r="E7" s="6" t="inlineStr">
        <is>
          <t>مسودة</t>
        </is>
      </c>
    </row>
    <row r="8">
      <c r="A8" s="5" t="inlineStr">
        <is>
          <t>ست-02</t>
        </is>
      </c>
      <c r="B8" s="5" t="inlineStr">
        <is>
          <t>التباس بين ح2 وح7</t>
        </is>
      </c>
      <c r="C8" s="6" t="inlineStr">
        <is>
          <t>هل تقصد كيف كان الوحي يأتي النبي ﷺ، أم لماذا يؤمن المسلمون أن القرآن من عند الله؟</t>
        </is>
      </c>
      <c r="D8" s="5" t="inlineStr">
        <is>
          <t>نعم</t>
        </is>
      </c>
      <c r="E8" s="6" t="inlineStr">
        <is>
          <t>مسودة</t>
        </is>
      </c>
    </row>
    <row r="9">
      <c r="A9" s="5" t="inlineStr">
        <is>
          <t>ست-03</t>
        </is>
      </c>
      <c r="B9" s="5" t="inlineStr">
        <is>
          <t>سؤال عن «نسخ مختلفة» أو تغيّر القرآن</t>
        </is>
      </c>
      <c r="C9" s="6" t="inlineStr">
        <is>
          <t>هل تسأل: هل القرآن الذي بين أيدينا هو نفسه الذي نزل على النبي ﷺ؟</t>
        </is>
      </c>
      <c r="D9" s="5" t="inlineStr">
        <is>
          <t>نعم</t>
        </is>
      </c>
      <c r="E9" s="6" t="inlineStr">
        <is>
          <t>مسودة</t>
        </is>
      </c>
    </row>
    <row r="10">
      <c r="A10" s="5" t="inlineStr">
        <is>
          <t>ست-04</t>
        </is>
      </c>
      <c r="B10" s="5" t="inlineStr">
        <is>
          <t>سؤال واسع</t>
        </is>
      </c>
      <c r="C10" s="6" t="inlineStr">
        <is>
          <t>يمكننا أن نبدأ من أكثر من جهة، فبأيّها تبدأ؟</t>
        </is>
      </c>
      <c r="D10" s="5" t="inlineStr">
        <is>
          <t>لا</t>
        </is>
      </c>
      <c r="E10" s="6" t="inlineStr">
        <is>
          <t>مسودة</t>
        </is>
      </c>
    </row>
    <row r="11">
      <c r="A11" s="5" t="inlineStr">
        <is>
          <t>ام-01</t>
        </is>
      </c>
      <c r="B11" s="5" t="inlineStr">
        <is>
          <t>سؤال خارج القرآن</t>
        </is>
      </c>
      <c r="C11" s="6" t="inlineStr">
        <is>
          <t>يختص «دليل» حالياً بالتعرّف إلى القرآن الكريم، وسؤالك عن موضوع آخر. يمكنك الرجوع إلى الموسوعات العلمية في موقع الدرر السنية (dorar.net).</t>
        </is>
      </c>
      <c r="D11" s="5" t="inlineStr">
        <is>
          <t>نعم</t>
        </is>
      </c>
      <c r="E11" s="6" t="inlineStr">
        <is>
          <t>مسودة</t>
        </is>
      </c>
    </row>
    <row r="12">
      <c r="A12" s="5" t="inlineStr">
        <is>
          <t>ام-02</t>
        </is>
      </c>
      <c r="B12" s="5" t="inlineStr">
        <is>
          <t>فتوى أو حالة شخصية (المستوى د)</t>
        </is>
      </c>
      <c r="C12" s="6" t="inlineStr">
        <is>
          <t>سؤالك يحتاج إلى جواب يراعي حالتك بعينها، وهذا خارج ما يقدمه «دليل». ننصحك بسؤال عالم أو جهة إفتاء موثوقة في بلدك.</t>
        </is>
      </c>
      <c r="D12" s="5" t="inlineStr">
        <is>
          <t>نعم</t>
        </is>
      </c>
      <c r="E12" s="6" t="inlineStr">
        <is>
          <t>مسودة</t>
        </is>
      </c>
    </row>
    <row r="13">
      <c r="A13" s="5" t="inlineStr">
        <is>
          <t>ام-03</t>
        </is>
      </c>
      <c r="B13" s="5" t="inlineStr">
        <is>
          <t>القراءات وأوجه الأداء (قرار نطاق)</t>
        </is>
      </c>
      <c r="C13" s="6" t="inlineStr">
        <is>
          <t>تفاصيل القراءات علم متخصص لا يغطيه «دليل» في نسخته الحالية، ويُرجع فيه إلى أهل الاختصاص.</t>
        </is>
      </c>
      <c r="D13" s="5" t="inlineStr">
        <is>
          <t>نعم</t>
        </is>
      </c>
      <c r="E13" s="6" t="inlineStr">
        <is>
          <t>مسودة</t>
        </is>
      </c>
    </row>
    <row r="14">
      <c r="A14" s="5" t="inlineStr">
        <is>
          <t>ام-04</t>
        </is>
      </c>
      <c r="B14" s="5" t="inlineStr">
        <is>
          <t>«الإعجاز العلمي» (قرار نطاق)</t>
        </is>
      </c>
      <c r="C14" s="6" t="inlineStr">
        <is>
          <t>هذا الموضوع خارج ما تغطيه هذه النسخة من «دليل».</t>
        </is>
      </c>
      <c r="D14" s="5" t="inlineStr">
        <is>
          <t>نعم</t>
        </is>
      </c>
      <c r="E14" s="6" t="inlineStr">
        <is>
          <t>مسودة</t>
        </is>
      </c>
    </row>
    <row r="15">
      <c r="A15" s="5" t="inlineStr">
        <is>
          <t>ام-05</t>
        </is>
      </c>
      <c r="B15" s="5" t="inlineStr">
        <is>
          <t>طلب حديث أو نص غير موجود في المواد</t>
        </is>
      </c>
      <c r="C15" s="6" t="inlineStr">
        <is>
          <t>لم نجد في مواد «دليل» المراجعة ما يطابق طلبك، ولا نعرض نصاً لم نتحقق منه. يمكنك البحث في الموسوعة الحديثية بموقع الدرر السنية، مع حكم كل حديث.</t>
        </is>
      </c>
      <c r="D15" s="5" t="inlineStr">
        <is>
          <t>نعم</t>
        </is>
      </c>
      <c r="E15" s="6" t="inlineStr">
        <is>
          <t>مسودة</t>
        </is>
      </c>
    </row>
    <row r="16">
      <c r="A16" s="5" t="inlineStr">
        <is>
          <t>ام-06</t>
        </is>
      </c>
      <c r="B16" s="5" t="inlineStr">
        <is>
          <t>آية لم تُعثر عليها في المصحف</t>
        </is>
      </c>
      <c r="C16" s="6" t="inlineStr">
        <is>
          <t>لم نجد آية تطابق النص الذي كتبته. يمكنك البحث عنها في مصحف موثوق مثل quranpedia.net.</t>
        </is>
      </c>
      <c r="D16" s="5" t="inlineStr">
        <is>
          <t>لا</t>
        </is>
      </c>
      <c r="E16" s="6" t="inlineStr">
        <is>
          <t>مسودة</t>
        </is>
      </c>
    </row>
    <row r="17">
      <c r="A17" s="5" t="inlineStr">
        <is>
          <t>ام-07</t>
        </is>
      </c>
      <c r="B17" s="5" t="inlineStr">
        <is>
          <t>الحاجة داخل النطاق ولا جزء مناسب</t>
        </is>
      </c>
      <c r="C17" s="6" t="inlineStr">
        <is>
          <t>لم نجد في مواد «دليل» المراجعة جزءاً يجيب عن هذا بدقة. نفضّل أن نخبرك بذلك على أن نعرض عليك ما لا يجيب. اختر من الأسئلة المتاحة أدناه.</t>
        </is>
      </c>
      <c r="D17" s="5" t="inlineStr">
        <is>
          <t>لا</t>
        </is>
      </c>
      <c r="E17" s="6" t="inlineStr">
        <is>
          <t>مسودة</t>
        </is>
      </c>
    </row>
    <row r="18">
      <c r="A18" s="5" t="inlineStr">
        <is>
          <t>ام-08</t>
        </is>
      </c>
      <c r="B18" s="5" t="inlineStr">
        <is>
          <t>سؤال بغير العربية</t>
        </is>
      </c>
      <c r="C18" s="6" t="inlineStr">
        <is>
          <t>يعمل «دليل» حالياً باللغة العربية فقط. — Daleel currently works in Arabic only.</t>
        </is>
      </c>
      <c r="D18" s="5" t="inlineStr">
        <is>
          <t>لا</t>
        </is>
      </c>
      <c r="E18" s="6" t="inlineStr">
        <is>
          <t>مسودة</t>
        </is>
      </c>
    </row>
    <row r="19">
      <c r="A19" s="5" t="inlineStr">
        <is>
          <t>ام-09</t>
        </is>
      </c>
      <c r="B19" s="5" t="inlineStr">
        <is>
          <t>تفسير آية بعينها (قرار نطاق)</t>
        </is>
      </c>
      <c r="C19" s="6" t="inlineStr">
        <is>
          <t>تفسير آيات بعينها خارج ما يغطيه «دليل» حالياً. يمكنك الرجوع إلى موسوعة التفسير بموقع الدرر السنية.</t>
        </is>
      </c>
      <c r="D19" s="5" t="inlineStr">
        <is>
          <t>نعم</t>
        </is>
      </c>
      <c r="E19" s="6" t="inlineStr">
        <is>
          <t>مسودة</t>
        </is>
      </c>
    </row>
    <row r="20">
      <c r="A20" s="5" t="inlineStr">
        <is>
          <t>ام-10</t>
        </is>
      </c>
      <c r="B20" s="5" t="inlineStr">
        <is>
          <t>تعطل خدمة الفهم</t>
        </is>
      </c>
      <c r="C20" s="6" t="inlineStr">
        <is>
          <t>خدمة فهم الأسئلة متوقفة مؤقتاً. اختر سؤالك من القائمة.</t>
        </is>
      </c>
      <c r="D20" s="5" t="inlineStr">
        <is>
          <t>لا</t>
        </is>
      </c>
      <c r="E20" s="6" t="inlineStr">
        <is>
          <t>مسودة</t>
        </is>
      </c>
    </row>
    <row r="21">
      <c r="A21" s="5" t="inlineStr">
        <is>
          <t>و-06</t>
        </is>
      </c>
      <c r="B21" s="5" t="inlineStr">
        <is>
          <t>فوق نص المقطع (يُملأ من السجل)</t>
        </is>
      </c>
      <c r="C21" s="6" t="inlineStr">
        <is>
          <t>من جواب «{المصدر}» عن سؤال: {عنوان_المسألة}</t>
        </is>
      </c>
      <c r="D21" s="5" t="inlineStr">
        <is>
          <t>لا</t>
        </is>
      </c>
      <c r="E21" s="6" t="inlineStr">
        <is>
          <t>مسودة</t>
        </is>
      </c>
    </row>
    <row r="22">
      <c r="A22" s="5" t="inlineStr">
        <is>
          <t>و-07</t>
        </is>
      </c>
      <c r="B22" s="5" t="inlineStr">
        <is>
          <t>شاشة البداية</t>
        </is>
      </c>
      <c r="C22" s="6" t="inlineStr">
        <is>
          <t>اكتب سؤالك عن القرآن بكلماتك، مثل: كيف حُفظ القرآن؟ أو اختر من الأسئلة أدناه.</t>
        </is>
      </c>
      <c r="D22" s="5" t="inlineStr">
        <is>
          <t>لا</t>
        </is>
      </c>
      <c r="E22" s="6" t="inlineStr">
        <is>
          <t>مسودة</t>
        </is>
      </c>
    </row>
    <row r="23">
      <c r="A23" s="5" t="inlineStr">
        <is>
          <t>و-08</t>
        </is>
      </c>
      <c r="B23" s="5" t="inlineStr">
        <is>
          <t>سطر الخصوصية</t>
        </is>
      </c>
      <c r="C23" s="6" t="inlineStr">
        <is>
          <t>لا تكتب اسمك أو أي معلومات شخصية. لا نحفظ نص سؤالك، ونرسله إلى مزوّد النموذج اللغوي لفهمه فقط.</t>
        </is>
      </c>
      <c r="D23" s="5" t="inlineStr">
        <is>
          <t>لا</t>
        </is>
      </c>
      <c r="E23" s="6" t="inlineStr">
        <is>
          <t>مسودة</t>
        </is>
      </c>
    </row>
    <row r="24">
      <c r="A24" s="5" t="inlineStr">
        <is>
          <t>و-09</t>
        </is>
      </c>
      <c r="B24" s="5" t="inlineStr">
        <is>
          <t>بعد «لا»</t>
        </is>
      </c>
      <c r="C24" s="6" t="inlineStr">
        <is>
          <t>شكراً لإخبارنا. يمكنك إعادة صياغة سؤالك، أو اختيار سؤال من القائمة.</t>
        </is>
      </c>
      <c r="D24" s="5" t="inlineStr">
        <is>
          <t>لا</t>
        </is>
      </c>
      <c r="E24" s="6" t="inlineStr">
        <is>
          <t>مسودة</t>
        </is>
      </c>
    </row>
    <row r="25">
      <c r="A25" s="5" t="inlineStr">
        <is>
          <t>و-10</t>
        </is>
      </c>
      <c r="B25" s="5" t="inlineStr">
        <is>
          <t>بعد «نعم»</t>
        </is>
      </c>
      <c r="C25" s="6" t="inlineStr">
        <is>
          <t>قد يهمك بعدها:</t>
        </is>
      </c>
      <c r="D25" s="5" t="inlineStr">
        <is>
          <t>لا</t>
        </is>
      </c>
      <c r="E25" s="6" t="inlineStr">
        <is>
          <t>مسودة</t>
        </is>
      </c>
    </row>
    <row r="26">
      <c r="A26" s="5" t="inlineStr">
        <is>
          <t>و-11</t>
        </is>
      </c>
      <c r="B26" s="5" t="inlineStr">
        <is>
          <t>إدخال فارغ أو غير مفهوم</t>
        </is>
      </c>
      <c r="C26" s="6" t="inlineStr">
        <is>
          <t>لم نتمكن من قراءة سؤالك. اكتب سؤالاً قصيراً عن القرآن، أو اختر من القائمة.</t>
        </is>
      </c>
      <c r="D26" s="5" t="inlineStr">
        <is>
          <t>لا</t>
        </is>
      </c>
      <c r="E26" s="6" t="inlineStr">
        <is>
          <t>مسودة</t>
        </is>
      </c>
    </row>
    <row r="27">
      <c r="A27" s="5" t="inlineStr">
        <is>
          <t>و-12</t>
        </is>
      </c>
      <c r="B27" s="5" t="inlineStr">
        <is>
          <t>ما بقي غير مغطى</t>
        </is>
      </c>
      <c r="C27" s="6" t="inlineStr">
        <is>
          <t>لم نجد في مواد «دليل» جزءاً آخر يجيب عمّا بقي من سؤالك. نفضّل أن نخبرك بذلك على أن نعرض ما لا يجيب.</t>
        </is>
      </c>
      <c r="D27" s="5" t="inlineStr">
        <is>
          <t>لا</t>
        </is>
      </c>
      <c r="E27" s="6" t="inlineStr">
        <is>
          <t>مسودة</t>
        </is>
      </c>
    </row>
    <row r="28">
      <c r="A28" s="5" t="inlineStr">
        <is>
          <t>و-13</t>
        </is>
      </c>
      <c r="B28" s="5" t="inlineStr">
        <is>
          <t>آية مطابقة للمصحف</t>
        </is>
      </c>
      <c r="C28" s="6" t="inlineStr">
        <is>
          <t>هذا نص الآية كما في المصحف:</t>
        </is>
      </c>
      <c r="D28" s="5" t="inlineStr">
        <is>
          <t>لا</t>
        </is>
      </c>
      <c r="E28" s="6" t="inlineStr">
        <is>
          <t>مسودة</t>
        </is>
      </c>
    </row>
    <row r="29">
      <c r="A29" s="5" t="inlineStr">
        <is>
          <t>و-14</t>
        </is>
      </c>
      <c r="B29" s="5" t="inlineStr">
        <is>
          <t>آية مكتوبة بنص مختلف</t>
        </is>
      </c>
      <c r="C29" s="6" t="inlineStr">
        <is>
          <t>النص الذي كتبته يختلف عن نص المصحف. هذا نص الآية كما في المصحف:</t>
        </is>
      </c>
      <c r="D29" s="5" t="inlineStr">
        <is>
          <t>نعم</t>
        </is>
      </c>
      <c r="E29" s="6" t="inlineStr">
        <is>
          <t>مسودة</t>
        </is>
      </c>
    </row>
    <row r="30">
      <c r="A30" s="5" t="inlineStr">
        <is>
          <t>و-15</t>
        </is>
      </c>
      <c r="B30" s="5" t="inlineStr">
        <is>
          <t>أسفل كل مقطع</t>
        </is>
      </c>
      <c r="C30" s="6" t="inlineStr">
        <is>
          <t>لا يتجاوز «دليل» هذا النص المقتبس، ولا يضيف إليه شرحاً من عنده.</t>
        </is>
      </c>
      <c r="D30" s="5" t="inlineStr">
        <is>
          <t>لا</t>
        </is>
      </c>
      <c r="E30" s="6" t="inlineStr">
        <is>
          <t>مسودة</t>
        </is>
      </c>
    </row>
  </sheetData>
  <dataValidations count="1">
    <dataValidation sqref="E2:E40" showDropDown="0" showInputMessage="0" showErrorMessage="0" allowBlank="1" type="list">
      <formula1>"مسودة,معتمد"</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4" customWidth="1" min="3" max="3"/>
  </cols>
  <sheetData>
    <row r="1" ht="34" customHeight="1">
      <c r="A1" s="4" t="inlineStr">
        <is>
          <t>المؤشر</t>
        </is>
      </c>
      <c r="B1" s="4" t="inlineStr">
        <is>
          <t>الحالي</t>
        </is>
      </c>
      <c r="C1" s="4" t="inlineStr">
        <is>
          <t>الهدف</t>
        </is>
      </c>
    </row>
    <row r="2">
      <c r="A2" s="5" t="inlineStr">
        <is>
          <t>مقاطع أساسية مخططة</t>
        </is>
      </c>
      <c r="B2" s="9">
        <f>COUNTIF(المقاطع!$C$2:$C$60,"أساسي")</f>
        <v/>
      </c>
      <c r="C2" s="5" t="inlineStr">
        <is>
          <t>20</t>
        </is>
      </c>
    </row>
    <row r="3">
      <c r="A3" s="5" t="inlineStr">
        <is>
          <t>أساسية قابلة للنشر</t>
        </is>
      </c>
      <c r="B3" s="9">
        <f>COUNTIFS(المقاطع!$C$2:$C$60,"أساسي",المقاطع!$U$2:$U$60,"قابل للنشر")</f>
        <v/>
      </c>
      <c r="C3" s="5" t="inlineStr">
        <is>
          <t>20</t>
        </is>
      </c>
    </row>
    <row r="4">
      <c r="A4" s="5" t="inlineStr">
        <is>
          <t>إضافية قابلة للنشر</t>
        </is>
      </c>
      <c r="B4" s="9">
        <f>COUNTIFS(المقاطع!$C$2:$C$60,"إضافي",المقاطع!$U$2:$U$60,"قابل للنشر")</f>
        <v/>
      </c>
      <c r="C4" s="5" t="inlineStr">
        <is>
          <t>—</t>
        </is>
      </c>
    </row>
    <row r="5">
      <c r="A5" s="5" t="inlineStr">
        <is>
          <t>بانتظار رأي المختص الأعلم</t>
        </is>
      </c>
      <c r="B5" s="9">
        <f>COUNTIF(المقاطع!$U$2:$U$60,"بانتظار*")</f>
        <v/>
      </c>
      <c r="C5" s="5" t="inlineStr">
        <is>
          <t>0</t>
        </is>
      </c>
    </row>
    <row r="6">
      <c r="A6" s="5" t="inlineStr">
        <is>
          <t>لم تُستخرج بعد</t>
        </is>
      </c>
      <c r="B6" s="9">
        <f>COUNTIF(المقاطع!$U$2:$U$60,"لم يُستخرج بعد")</f>
        <v/>
      </c>
      <c r="C6" s="5" t="inlineStr">
        <is>
          <t>0</t>
        </is>
      </c>
    </row>
    <row r="7">
      <c r="A7" s="5" t="inlineStr">
        <is>
          <t>احتياجات مكتملة التغطية</t>
        </is>
      </c>
      <c r="B7" s="9">
        <f>COUNTIF(الاحتياجات!$I$2:$I$8,"مكتملة")</f>
        <v/>
      </c>
      <c r="C7" s="5" t="inlineStr">
        <is>
          <t>7</t>
        </is>
      </c>
    </row>
    <row r="8">
      <c r="A8" s="5" t="inlineStr">
        <is>
          <t>قوالب معتمدة</t>
        </is>
      </c>
      <c r="B8" s="9">
        <f>COUNTIF(القوالب!$E$2:$E$40,"معتمد")</f>
        <v/>
      </c>
      <c r="C8" s="5">
        <f>COUNTA(القوالب!$A$2:$A$40)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2026-10-04T14:18:10Z</dcterms:created>
  <dcterms:modified xmlns:dcterms="http://purl.org/dc/terms/" xmlns:xsi="http://www.w3.org/2001/XMLSchema-instance" xsi:type="dcterms:W3CDTF">2026-10-04T14:43:20Z</dcterms:modified>
</cp:coreProperties>
</file>