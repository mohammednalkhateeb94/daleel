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للمختص" sheetId="2" state="visible" r:id="rId2"/>
    <sheet xmlns:r="http://schemas.openxmlformats.org/officeDocument/2006/relationships" name="المصادر" sheetId="3" state="visible" r:id="rId3"/>
    <sheet xmlns:r="http://schemas.openxmlformats.org/officeDocument/2006/relationships" name="الاحتياجات" sheetId="4" state="visible" r:id="rId4"/>
    <sheet xmlns:r="http://schemas.openxmlformats.org/officeDocument/2006/relationships" name="المقاطع" sheetId="5" state="visible" r:id="rId5"/>
    <sheet xmlns:r="http://schemas.openxmlformats.org/officeDocument/2006/relationships" name="القوالب" sheetId="6" state="visible" r:id="rId6"/>
    <sheet xmlns:r="http://schemas.openxmlformats.org/officeDocument/2006/relationships" name="الملخص" sheetId="7" state="visible" r:id="rId7"/>
  </sheets>
  <definedNames>
    <definedName name="_xlnm._FilterDatabase" localSheetId="4" hidden="1">'المقاطع'!$A$1:$V$33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2"/>
    </font>
    <font>
      <name val="Arial"/>
      <sz val="10"/>
    </font>
    <font>
      <name val="Arial"/>
      <b val="1"/>
      <sz val="10"/>
    </font>
    <font>
      <name val="Arial"/>
      <b val="1"/>
      <color rgb="00FFFFFF"/>
      <sz val="11"/>
    </font>
    <font>
      <name val="Arial"/>
      <b val="1"/>
      <sz val="13"/>
    </font>
    <font>
      <name val="Arial"/>
      <b val="1"/>
      <color rgb="00FFFFFF"/>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4" fillId="2" borderId="1" applyAlignment="1" pivotButton="0" quotePrefix="0" xfId="0">
      <alignment horizontal="center" vertical="center"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3" fillId="4" borderId="1" applyAlignment="1" pivotButton="0" quotePrefix="0" xfId="0">
      <alignment horizontal="right" vertical="top" wrapText="1" readingOrder="2"/>
    </xf>
    <xf numFmtId="0" fontId="5" fillId="0" borderId="0" pivotButton="0" quotePrefix="0" xfId="0"/>
    <xf numFmtId="0" fontId="6" fillId="2" borderId="1" applyAlignment="1" pivotButton="0" quotePrefix="0" xfId="0">
      <alignment horizontal="center" vertical="center" wrapText="1" readingOrder="2"/>
    </xf>
    <xf numFmtId="0" fontId="0" fillId="0" borderId="0" applyAlignment="1" pivotButton="0" quotePrefix="0" xfId="0">
      <alignment horizontal="right" vertical="top" wrapText="1" readingOrder="2"/>
    </xf>
  </cellXfs>
  <cellStyles count="1">
    <cellStyle name="Normal" xfId="0" builtinId="0" hidden="0"/>
  </cellStyles>
  <dxfs count="2">
    <dxf>
      <fill>
        <patternFill patternType="solid">
          <fgColor rgb="00F8CBAD"/>
        </patternFill>
      </fill>
    </dxf>
    <dxf>
      <font>
        <name val="Arial"/>
        <b val="1"/>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rightToLeft="1" workbookViewId="0">
      <selection activeCell="A1" sqref="A1"/>
    </sheetView>
  </sheetViews>
  <sheetFormatPr baseColWidth="8" defaultRowHeight="15"/>
  <cols>
    <col width="28" customWidth="1" min="1" max="1"/>
    <col width="110" customWidth="1" min="2" max="2"/>
  </cols>
  <sheetData>
    <row r="1">
      <c r="A1" s="1" t="inlineStr">
        <is>
          <t>سجل مقاطع «دليل»</t>
        </is>
      </c>
      <c r="B1" s="2" t="inlineStr">
        <is>
          <t>لا يعرض المنتج إلا المقطع الذي يظهر في عموده الأخير «قابل للنشر».</t>
        </is>
      </c>
    </row>
    <row r="2">
      <c r="A2" s="3" t="inlineStr"/>
      <c r="B2" s="2" t="inlineStr"/>
    </row>
    <row r="3">
      <c r="A3" s="3" t="inlineStr">
        <is>
          <t>أسس صحة السجل</t>
        </is>
      </c>
      <c r="B3" s="2" t="inlineStr"/>
    </row>
    <row r="4">
      <c r="A4" s="3" t="inlineStr">
        <is>
          <t>1. النص حرفي</t>
        </is>
      </c>
      <c r="B4" s="2" t="inlineStr">
        <is>
          <t>الجواب منقول كما هو من الموضع المذكور (المادة + المسألة + الصفحة)، دون تبسيط أو تلخيص.</t>
        </is>
      </c>
    </row>
    <row r="5">
      <c r="A5" s="3" t="inlineStr">
        <is>
          <t>2. المصدر معتمد ومحدد</t>
        </is>
      </c>
      <c r="B5" s="2" t="inlineStr">
        <is>
          <t>كل مقطع من مادة في ورقة «المصادر» معتمدة، بعنوان ورابط فعليين. يظهر المرجع والموضع والرابط مع كل مقطع.</t>
        </is>
      </c>
    </row>
    <row r="6">
      <c r="A6" s="3" t="inlineStr">
        <is>
          <t>3. المستوى</t>
        </is>
      </c>
      <c r="B6" s="2" t="inlineStr">
        <is>
          <t>أ أو ب فقط يُنشر. ج ود لا يُنشران (امتناع وإحالة).</t>
        </is>
      </c>
    </row>
    <row r="7">
      <c r="A7" s="3" t="inlineStr">
        <is>
          <t>4. المراجعة</t>
        </is>
      </c>
      <c r="B7" s="2" t="inlineStr">
        <is>
          <t>اجتاز الفحوص السبعة أدناه، مع اسم المراجع والتاريخ.</t>
        </is>
      </c>
    </row>
    <row r="8">
      <c r="A8" s="3" t="inlineStr">
        <is>
          <t>5. الحساس</t>
        </is>
      </c>
      <c r="B8" s="2" t="inlineStr">
        <is>
          <t>لا يُنشر قبل «موافق» من المختص الأعلم. «موافق بتعديل» تبقى معلّقة حتى يُنفذ التعديل وتُغيّر إلى «موافق».</t>
        </is>
      </c>
    </row>
    <row r="9">
      <c r="A9" s="3" t="inlineStr">
        <is>
          <t>6. الآيات والأحاديث</t>
        </is>
      </c>
      <c r="B9" s="2" t="inlineStr">
        <is>
          <t>الآيات تُعرض من نص المصحف المعتمد بالسورة والآية، لا من النص المنسوخ. الأحاديث بمصدرها وحكمها.</t>
        </is>
      </c>
    </row>
    <row r="10">
      <c r="A10" s="3" t="inlineStr">
        <is>
          <t>7. الحالة «معتمد»</t>
        </is>
      </c>
      <c r="B10" s="2" t="inlineStr">
        <is>
          <t>آخر خطوة بعد كل ما سبق.</t>
        </is>
      </c>
    </row>
    <row r="11">
      <c r="A11" s="3" t="inlineStr"/>
      <c r="B11" s="2" t="inlineStr"/>
    </row>
    <row r="12">
      <c r="A12" s="3" t="inlineStr">
        <is>
          <t>الفحوص السبعة</t>
        </is>
      </c>
      <c r="B12" s="2" t="inlineStr">
        <is>
          <t>١ يجيب عن السؤال المنسوب · ٢ لا يحذف قيداً أو سياقاً · ٣ لا يعرض اعتراضاً دون جواب · ٤ المعرفة السابقة واضحة · ٥ النقل والمصطلحات سليمة · ٦ النص موجود حرفياً في الموضع · ٧ لا قطع في خلاف ولا إجماع غير ثابت</t>
        </is>
      </c>
    </row>
    <row r="13">
      <c r="A13" s="3" t="inlineStr"/>
      <c r="B13" s="2" t="inlineStr"/>
    </row>
    <row r="14">
      <c r="A14" s="3" t="inlineStr">
        <is>
          <t>الألوان</t>
        </is>
      </c>
      <c r="B14" s="2" t="inlineStr">
        <is>
          <t>أصفر: تكتب فيه · رمادي: معادلة لا تُعدّل · برتقالي: مقطع حساس</t>
        </is>
      </c>
    </row>
    <row r="15">
      <c r="A15" s="3" t="inlineStr">
        <is>
          <t>النطاق</t>
        </is>
      </c>
      <c r="B15" s="2" t="inlineStr">
        <is>
          <t>العربية · 4 أقسام · 7 احتياجات · 20 مقطعاً أساسياً (3 لكل حاجة، وح7 اثنان) + مقاطع إضافية · نسخة 6 — 4 أكتوبر 2026</t>
        </is>
      </c>
    </row>
    <row r="17">
      <c r="A17" t="inlineStr">
        <is>
          <t>v8: وافق المختص الأعلم على المقاطع الحساسة العشرة دون تعديل (4 أكتوبر).</t>
        </is>
      </c>
    </row>
    <row r="19">
      <c r="A19" t="inlineStr">
        <is>
          <t>v9: القوالب: أُعيدت صياغة 12 قالباً وأُضيف 10 (البداية، الخصوصية، بعد «لا» و«نعم»، الإدخال غير المفهوم، ما بقي غير مغطى، الآيات). كلها «مسودة» حتى تعتمدها.</t>
        </is>
      </c>
    </row>
    <row r="21">
      <c r="A21" t="inlineStr">
        <is>
          <t>v10: أُضيفت 4 مقاطع من الموسوعة العقدية (الدرر): ق-01 تعريف القرآن، ق-33 مراحل الجمع، ق-34 التعريف اللغوي، ق-35 الفرق بين القرآن والحديث القدسي. الحالة «جاهز للمراجعة».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9" customWidth="1" min="2" max="2"/>
    <col width="26" customWidth="1" min="3" max="3"/>
    <col width="34" customWidth="1" min="4" max="4"/>
    <col width="70" customWidth="1" min="5" max="5"/>
    <col width="48" customWidth="1" min="6" max="6"/>
    <col width="52" customWidth="1" min="7" max="7"/>
    <col width="14" customWidth="1" min="8" max="8"/>
    <col width="36" customWidth="1" min="9" max="9"/>
  </cols>
  <sheetData>
    <row r="1">
      <c r="A1" s="10" t="inlineStr">
        <is>
          <t>المقاطع الحساسة: ما المطلوب من المختص الأعلم</t>
        </is>
      </c>
    </row>
    <row r="2" ht="48" customHeight="1">
      <c r="A2" s="2" t="inlineStr">
        <is>
          <t>المقطع الحساس لا يُنشر حتى يكتب المختص قراره. اقرأ «الجواب كما في المصدر» ثم «لماذا هو حساس» ثم أجب عن «المطلوب منك». القرار: «موافق» يُنشر كما هو · «موافق بتعديل» اكتب التعديل (غالباً قصّ الحدود فقط، فلا تُعاد صياغة النص) · «غير موافق» لا يُنشر. الأولوية 1 = مقاطع أساسية يتوقف عليها المنتج.</t>
        </is>
      </c>
    </row>
    <row r="4">
      <c r="A4" s="11" t="inlineStr">
        <is>
          <t>الأولوية</t>
        </is>
      </c>
      <c r="B4" s="11" t="inlineStr">
        <is>
          <t>رقم المقطع</t>
        </is>
      </c>
      <c r="C4" s="11" t="inlineStr">
        <is>
          <t>المسألة في «بينات»</t>
        </is>
      </c>
      <c r="D4" s="11" t="inlineStr">
        <is>
          <t>السؤال في المصدر</t>
        </is>
      </c>
      <c r="E4" s="11" t="inlineStr">
        <is>
          <t>الجواب كما في المصدر</t>
        </is>
      </c>
      <c r="F4" s="11" t="inlineStr">
        <is>
          <t>لماذا هو حساس؟</t>
        </is>
      </c>
      <c r="G4" s="11" t="inlineStr">
        <is>
          <t>المطلوب منك</t>
        </is>
      </c>
      <c r="H4" s="11" t="inlineStr">
        <is>
          <t>القرار</t>
        </is>
      </c>
      <c r="I4" s="11" t="inlineStr">
        <is>
          <t>التعديل أو الملاحظة</t>
        </is>
      </c>
    </row>
    <row r="5" ht="260" customHeight="1">
      <c r="A5" s="8" t="n">
        <v>1</v>
      </c>
      <c r="B5" s="8" t="inlineStr">
        <is>
          <t>ق-17</t>
        </is>
      </c>
      <c r="C5" s="5" t="inlineStr">
        <is>
          <t>ادعاء أن ترتيب آيات القرآن من فعل الصحابة.</t>
        </is>
      </c>
      <c r="D5" s="5" t="inlineStr">
        <is>
          <t>ما دام الصحابة قد رتبوا آيات القرآن؛ فهذا دليل على تحريفهم لآيات القرآن؛ كما يمكن بسبب ذلك وقوع الأخطاء فيه، والإدخال عليه.</t>
        </is>
      </c>
      <c r="E5" s="5"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F5"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c r="G5" s="5" t="inlineStr">
        <is>
          <t>1) هل نسبة القول بالتوقيف في ترتيب السور إلى «جمهور العلماء» صحيحة؟
2) هل التعارض بين الجملة الأولى (القطع) وذكر الخلاف بعدها مقبول؟
3) اقتراح قص: يبدأ من «1) ترتيب الآيات…» وينتهي عند «…وهو مذهب جمهور العلماء.» هل توافق؟</t>
        </is>
      </c>
      <c r="H5" s="6" t="inlineStr">
        <is>
          <t>موافق</t>
        </is>
      </c>
      <c r="I5" s="6" t="inlineStr">
        <is>
          <t>وافق المختص الأعلم دون تعديل — 2026-10-04</t>
        </is>
      </c>
    </row>
    <row r="6" ht="260" customHeight="1">
      <c r="A6" s="8" t="n">
        <v>1</v>
      </c>
      <c r="B6" s="8" t="inlineStr">
        <is>
          <t>ق-23</t>
        </is>
      </c>
      <c r="C6" s="5" t="inlineStr">
        <is>
          <t>تحدى القرآن البشر أن يأتوا بمثله، مع وجود كلام في غاية البلاغة للبشر.</t>
        </is>
      </c>
      <c r="D6" s="5" t="inlineStr">
        <is>
          <t>تحدى القرآن البشر أن يأتوا بمثله، وقد رأينا في كلام كثير من الناس والشعراء غاية البلاغة؛ أفلا يستطيع هؤلاء أن يأتوا بمثل القرآن؟</t>
        </is>
      </c>
      <c r="E6" s="5"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F6"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c r="G6" s="5" t="inlineStr">
        <is>
          <t>1) هل الاستشهاد بالآيتين (البقرة 24، فصلت 42) في موضعه؟
2) هل يُقبل تعداد وجوه الإعجاز بهذه الصيغة القاطعة لمبتدئ، أم يُقصّ المقطع؟
3) اقتراح بديل للقص: من «أما القرآن…» إلى «…[فصلت: 42]» (تُحذف فقرة المتنبي وفقرة التعداد). هل توافق على القص أم على النص كاملاً؟</t>
        </is>
      </c>
      <c r="H6" s="6" t="inlineStr">
        <is>
          <t>موافق</t>
        </is>
      </c>
      <c r="I6" s="6" t="inlineStr">
        <is>
          <t>وافق المختص الأعلم دون تعديل — 2026-10-04</t>
        </is>
      </c>
    </row>
    <row r="7" ht="260" customHeight="1">
      <c r="A7" s="8" t="n">
        <v>1</v>
      </c>
      <c r="B7" s="8" t="inlineStr">
        <is>
          <t>ق-24</t>
        </is>
      </c>
      <c r="C7" s="5" t="inlineStr">
        <is>
          <t>ادعاء أن القرآن مصدره البشر.</t>
        </is>
      </c>
      <c r="D7" s="5" t="inlineStr">
        <is>
          <t>لماذا لا يكون القرآن من وضع البشر، أو يكون من تأليف النبي ﷺ نفسه، وقد جاءت آية في القرآن تنص على ذلك: ﴿إنه لقول رسول كريم﴾ [الحاقة: 40]؟</t>
        </is>
      </c>
      <c r="E7" s="5"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F7"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c r="G7" s="5" t="inlineStr">
        <is>
          <t>1) هل البنود الأربعة صحيحة ومناسبة لمبتدئ غير مسلم؟
2) البند 2 (الإعجاز العلمي): نقبله كما هو عابراً، أم نقصّ المقطع إلى البندين 3 و4؟
3) هل وصف «عقلاء المشركين من أهل الكتاب» دقيق؟</t>
        </is>
      </c>
      <c r="H7" s="6" t="inlineStr">
        <is>
          <t>موافق</t>
        </is>
      </c>
      <c r="I7" s="6" t="inlineStr">
        <is>
          <t>وافق المختص الأعلم دون تعديل — 2026-10-04</t>
        </is>
      </c>
    </row>
    <row r="8" ht="260" customHeight="1">
      <c r="A8" s="8" t="n">
        <v>2</v>
      </c>
      <c r="B8" s="8" t="inlineStr">
        <is>
          <t>ق-13</t>
        </is>
      </c>
      <c r="C8" s="5" t="inlineStr">
        <is>
          <t>هل ضاع شيء من القرآن الذي سمعه الصحابة من النبي ﷺ؛ بسبب جمع عثمان للقرآن؟</t>
        </is>
      </c>
      <c r="D8" s="5" t="inlineStr">
        <is>
          <t>هل ضاع شيء من القرآن الذي سمعه الصحابة من النبي ﷺ؛ بسبب جمع عثمان للقرآن؟</t>
        </is>
      </c>
      <c r="E8" s="5"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F8"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c r="G8" s="5" t="inlineStr">
        <is>
          <t>1) هل المزايا الخمس المذكورة دقيقة بإطلاقها؟
2) هل ذكر «نسخ التلاوة» و«اختلاف القراءات» لمبتدئ يفتح باباً أوسع مما نجيب عنه؟
3) نعرضه كاملاً، أم نكتفي بالفقرتين الأوليين (حتى «…وهذه مصلحة عظيمة»)؟</t>
        </is>
      </c>
      <c r="H8" s="6" t="inlineStr">
        <is>
          <t>موافق</t>
        </is>
      </c>
      <c r="I8" s="6" t="inlineStr">
        <is>
          <t>وافق المختص الأعلم دون تعديل — 2026-10-04</t>
        </is>
      </c>
    </row>
    <row r="9" ht="260" customHeight="1">
      <c r="A9" s="8" t="n">
        <v>2</v>
      </c>
      <c r="B9" s="8" t="inlineStr">
        <is>
          <t>ق-14</t>
        </is>
      </c>
      <c r="C9" s="5" t="inlineStr">
        <is>
          <t>ادعاء أن نقل الصحابة للقرآن نقل آحادي لا متواتر.</t>
        </is>
      </c>
      <c r="D9"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E9" s="5"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F9"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c r="G9" s="5" t="inlineStr">
        <is>
          <t>1) هل توجيه روايات الحصر صحيح ومنضبط؟
2) هل يُفهم المقطع لمبتدئ لم يسمع بالرواية أصلاً؟
3) ذكر «الأحرف المختلفة» عابراً: مقبول أم يُستبعد المقطع؟</t>
        </is>
      </c>
      <c r="H9" s="6" t="inlineStr">
        <is>
          <t>موافق</t>
        </is>
      </c>
      <c r="I9" s="6" t="inlineStr">
        <is>
          <t>وافق المختص الأعلم دون تعديل — 2026-10-04</t>
        </is>
      </c>
    </row>
    <row r="10" ht="260" customHeight="1">
      <c r="A10" s="8" t="n">
        <v>2</v>
      </c>
      <c r="B10" s="8" t="inlineStr">
        <is>
          <t>ق-25</t>
        </is>
      </c>
      <c r="C10" s="5" t="inlineStr">
        <is>
          <t>ادعاء أن القرآن مصدره الكتب السابقة.</t>
        </is>
      </c>
      <c r="D10" s="5" t="inlineStr">
        <is>
          <t>مصدر القرآن لم يكن وحيا من الله تعالى، بل هو مقتبس من الكتب السابقة.</t>
        </is>
      </c>
      <c r="E10" s="5"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F10"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c r="G10" s="5" t="inlineStr">
        <is>
          <t>1) هل الصياغة مناسبة لغير مسلم دون أن تكون جارحة؟
2) هل تعريف «الاقتباس» مقبول كما هو؟
3) نعرض البندين معاً، أم البند 2 وحده؟</t>
        </is>
      </c>
      <c r="H10" s="6" t="inlineStr">
        <is>
          <t>موافق</t>
        </is>
      </c>
      <c r="I10" s="6" t="inlineStr">
        <is>
          <t>وافق المختص الأعلم دون تعديل — 2026-10-04</t>
        </is>
      </c>
    </row>
    <row r="11" ht="260" customHeight="1">
      <c r="A11" s="8" t="n">
        <v>3</v>
      </c>
      <c r="B11" s="8" t="inlineStr">
        <is>
          <t>ق-26</t>
        </is>
      </c>
      <c r="C11" s="5" t="inlineStr">
        <is>
          <t>ادعاء أن القرآن وثيقة قديمة.</t>
        </is>
      </c>
      <c r="D11" s="5" t="inlineStr">
        <is>
          <t>يقال: إن محمدا وجد وثيقة قديمة، فقام بتعديلها، ثم سماها قرآنا.</t>
        </is>
      </c>
      <c r="E11" s="5"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F11" s="5" t="inlineStr">
        <is>
          <t>يصف القول المخالف بأنه «مجرد افتراء»، ويشير إلى «حادثة الإفك» دون سياق، ويذكر «الحقائق العلمية» ضمن الأدلة (والإعجاز العلمي خارج نطاقنا).</t>
        </is>
      </c>
      <c r="G11" s="5" t="inlineStr">
        <is>
          <t>1) هل الأسلوب مناسب لسائل غير مسلم؟
2) هل الإشارة إلى حادثة الإفك دون تمهيد مقبولة؟
3) يُنشر إضافياً أم يُستبعد؟</t>
        </is>
      </c>
      <c r="H11" s="6" t="inlineStr">
        <is>
          <t>موافق</t>
        </is>
      </c>
      <c r="I11" s="6" t="inlineStr">
        <is>
          <t>وافق المختص الأعلم دون تعديل — 2026-10-04</t>
        </is>
      </c>
    </row>
    <row r="12" ht="260" customHeight="1">
      <c r="A12" s="8" t="n">
        <v>3</v>
      </c>
      <c r="B12" s="8" t="inlineStr">
        <is>
          <t>ق-27</t>
        </is>
      </c>
      <c r="C12" s="5" t="inlineStr">
        <is>
          <t>ادعاء الاستطاعة بإيجاد مثل علوم القرآن ومعارفه لبعض النابغين ذوي المواهب من الناس.</t>
        </is>
      </c>
      <c r="D12" s="5" t="inlineStr">
        <is>
          <t>هل يصح القول بأن ما في القرآن من علوم ومعارف ما هي إلا آثار لمواهب بعض النابغين من الناس، وهذه المواهب وآثارها وجدت، ويمكن أن توجد في كل أمة؟</t>
        </is>
      </c>
      <c r="E12" s="5"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F12"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c r="G12" s="5" t="inlineStr">
        <is>
          <t>1) هل عبارة «المعجزات من خصائص الربوبية» منضبطة عقدياً؟
2) الموقف من ذكر الإعجاز العلمي فيه؟
3) يُنشر إضافياً أم يُستبعد؟</t>
        </is>
      </c>
      <c r="H12" s="6" t="inlineStr">
        <is>
          <t>موافق</t>
        </is>
      </c>
      <c r="I12" s="6" t="inlineStr">
        <is>
          <t>وافق المختص الأعلم دون تعديل — 2026-10-04</t>
        </is>
      </c>
    </row>
    <row r="13" ht="260" customHeight="1">
      <c r="A13" s="8" t="n">
        <v>3</v>
      </c>
      <c r="B13" s="8" t="inlineStr">
        <is>
          <t>ق-30</t>
        </is>
      </c>
      <c r="C13" s="5" t="inlineStr">
        <is>
          <t>لماذا يكون الوحي بطرق خفية، ولا يأتي جبريل بصورته الحقيقية مبلغا الناس ما يريده؟</t>
        </is>
      </c>
      <c r="D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E13" s="5"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F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c r="G13" s="5" t="inlineStr">
        <is>
          <t>1) هل المثال المذكور مقبول، أم يحتاج مصدراً؟
2) هل التقرير العقدي منضبط؟
3) هل يناسب مبتدئاً يسأل «كيف نزل القرآن؟»</t>
        </is>
      </c>
      <c r="H13" s="6" t="inlineStr">
        <is>
          <t>موافق</t>
        </is>
      </c>
      <c r="I13" s="6" t="inlineStr">
        <is>
          <t>وافق المختص الأعلم دون تعديل — 2026-10-04</t>
        </is>
      </c>
    </row>
    <row r="14" ht="260" customHeight="1">
      <c r="A14" s="8" t="n">
        <v>3</v>
      </c>
      <c r="B14" s="8" t="inlineStr">
        <is>
          <t>ق-32</t>
        </is>
      </c>
      <c r="C14" s="5" t="inlineStr">
        <is>
          <t>هل القرآن الكريم يغني عن السنة النبوية؟</t>
        </is>
      </c>
      <c r="D14"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E14" s="5"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F14" s="5" t="inlineStr">
        <is>
          <t>حجية السنة مسألة أصولية عقدية. الأسلوب جدلي («اللوازم الفاسدة»، «قلة الأدب معه ﷺ»)، وقد يُفهم منه حكم على من ينكر السنة، وهذا يقترب من المستوى ج.</t>
        </is>
      </c>
      <c r="G14" s="5" t="inlineStr">
        <is>
          <t>1) هل المستوى «ب» صحيح، أم هو «ج» فلا يُنشر؟
2) هل الأسلوب مناسب لمبتدئ؟
3) يُنشر إضافياً أم يُستبعد؟</t>
        </is>
      </c>
      <c r="H14" s="6" t="inlineStr">
        <is>
          <t>موافق</t>
        </is>
      </c>
      <c r="I14" s="6" t="inlineStr">
        <is>
          <t>وافق المختص الأعلم دون تعديل — 2026-10-04</t>
        </is>
      </c>
    </row>
  </sheetData>
  <mergeCells count="1">
    <mergeCell ref="A2:I2"/>
  </mergeCells>
  <dataValidations count="1">
    <dataValidation sqref="H5:H14" showDropDown="0" showInputMessage="0" showErrorMessage="0" allowBlank="1" type="list">
      <formula1>"موافق,موافق بتعديل,غير موافق"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ht="34" customHeight="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5" t="inlineStr">
        <is>
          <t>م-01</t>
        </is>
      </c>
      <c r="B2" s="6" t="inlineStr">
        <is>
          <t>بينات: أسئلة منتقاة حول الإسلام</t>
        </is>
      </c>
      <c r="C2" s="5" t="inlineStr">
        <is>
          <t>مركز أصول (1445هـ)</t>
        </is>
      </c>
      <c r="D2" s="6" t="inlineStr">
        <is>
          <t>https://dawa.center/file/7937</t>
        </is>
      </c>
      <c r="E2" s="5" t="inlineStr">
        <is>
          <t>معروضة</t>
        </is>
      </c>
      <c r="F2" s="6" t="inlineStr">
        <is>
          <t>نعم</t>
        </is>
      </c>
      <c r="G2" s="5" t="inlineStr">
        <is>
          <t>ح2 ح3 ح4 ح6 ح7 ح1</t>
        </is>
      </c>
    </row>
    <row r="3">
      <c r="A3" s="5" t="inlineStr">
        <is>
          <t>م-02</t>
        </is>
      </c>
      <c r="B3" s="6" t="inlineStr">
        <is>
          <t>الموسوعة العقدية — الباب الثاني: الإيمان بالقرآن</t>
        </is>
      </c>
      <c r="C3" s="5" t="inlineStr">
        <is>
          <t>الدرر السنية</t>
        </is>
      </c>
      <c r="D3" s="6" t="inlineStr">
        <is>
          <t>https://dorar.net/aqeeda/1361</t>
        </is>
      </c>
      <c r="E3" s="5" t="inlineStr">
        <is>
          <t>معروضة</t>
        </is>
      </c>
      <c r="F3" s="6" t="inlineStr">
        <is>
          <t>نعم</t>
        </is>
      </c>
      <c r="G3" s="5" t="inlineStr">
        <is>
          <t>ح1 ح3</t>
        </is>
      </c>
    </row>
    <row r="4">
      <c r="A4" s="5" t="inlineStr">
        <is>
          <t>م-03</t>
        </is>
      </c>
      <c r="B4" s="6" t="inlineStr">
        <is>
          <t>[كتاب مختصر في علوم القرآن — يُحدد]</t>
        </is>
      </c>
      <c r="C4" s="5" t="inlineStr">
        <is>
          <t>quranpedia.net</t>
        </is>
      </c>
      <c r="D4" s="6" t="inlineStr">
        <is>
          <t>[الرابط]</t>
        </is>
      </c>
      <c r="E4" s="5" t="inlineStr">
        <is>
          <t>معروضة</t>
        </is>
      </c>
      <c r="F4" s="6" t="inlineStr"/>
      <c r="G4" s="5" t="inlineStr">
        <is>
          <t>ح2 ح4</t>
        </is>
      </c>
    </row>
    <row r="5">
      <c r="A5" s="5" t="inlineStr">
        <is>
          <t>م-04</t>
        </is>
      </c>
      <c r="B5" s="6" t="inlineStr">
        <is>
          <t>[مادة للبدء بالقراءة والفهم — يُحدد]</t>
        </is>
      </c>
      <c r="C5" s="5" t="inlineStr">
        <is>
          <t>الدرر أو الجمهرة</t>
        </is>
      </c>
      <c r="D5" s="6" t="inlineStr">
        <is>
          <t>[الرابط]</t>
        </is>
      </c>
      <c r="E5" s="5" t="inlineStr">
        <is>
          <t>معروضة</t>
        </is>
      </c>
      <c r="F5" s="6" t="inlineStr"/>
      <c r="G5" s="5" t="inlineStr">
        <is>
          <t>ح5 ح6</t>
        </is>
      </c>
    </row>
    <row r="6">
      <c r="A6" s="5" t="inlineStr">
        <is>
          <t>ت-01</t>
        </is>
      </c>
      <c r="B6" s="6" t="inlineStr">
        <is>
          <t>مصحف مجمع الملك فهد (نص الآيات)</t>
        </is>
      </c>
      <c r="C6" s="5" t="inlineStr">
        <is>
          <t>مجمع الملك فهد</t>
        </is>
      </c>
      <c r="D6" s="6" t="inlineStr">
        <is>
          <t>https://quranpedia.net</t>
        </is>
      </c>
      <c r="E6" s="5" t="inlineStr">
        <is>
          <t>تحقق فقط</t>
        </is>
      </c>
      <c r="F6" s="6" t="inlineStr">
        <is>
          <t>نعم</t>
        </is>
      </c>
      <c r="G6" s="5" t="inlineStr">
        <is>
          <t>كل الحاجات</t>
        </is>
      </c>
    </row>
    <row r="7">
      <c r="A7" s="5" t="inlineStr">
        <is>
          <t>ت-02</t>
        </is>
      </c>
      <c r="B7" s="6" t="inlineStr">
        <is>
          <t>الموسوعة الحديثية</t>
        </is>
      </c>
      <c r="C7" s="5" t="inlineStr">
        <is>
          <t>الدرر السنية</t>
        </is>
      </c>
      <c r="D7" s="6" t="inlineStr">
        <is>
          <t>https://dorar.net/hadith</t>
        </is>
      </c>
      <c r="E7" s="5" t="inlineStr">
        <is>
          <t>تحقق فقط</t>
        </is>
      </c>
      <c r="F7" s="6" t="inlineStr">
        <is>
          <t>نعم</t>
        </is>
      </c>
      <c r="G7" s="5" t="inlineStr">
        <is>
          <t>كل الحاجات</t>
        </is>
      </c>
    </row>
  </sheetData>
  <dataValidations count="2">
    <dataValidation sqref="E2:E20" showDropDown="0" showInputMessage="0" showErrorMessage="0" allowBlank="1" type="list">
      <formula1>"معروضة,تحقق فقط"</formula1>
    </dataValidation>
    <dataValidation sqref="F2:F20" showDropDown="0" showInputMessage="0" showErrorMessage="0" allowBlank="1" type="list">
      <formula1>"نعم,لا"</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ht="34" customHeight="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قابل للنشر</t>
        </is>
      </c>
      <c r="I1" s="4" t="inlineStr">
        <is>
          <t>التغطية</t>
        </is>
      </c>
    </row>
    <row r="2">
      <c r="A2" s="5" t="inlineStr">
        <is>
          <t>ح1</t>
        </is>
      </c>
      <c r="B2" s="5" t="inlineStr">
        <is>
          <t>التعرّف إلى القرآن</t>
        </is>
      </c>
      <c r="C2" s="5" t="inlineStr">
        <is>
          <t>ما القرآن، وما مكانته في الإسلام؟</t>
        </is>
      </c>
      <c r="D2" s="5"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5" t="inlineStr">
        <is>
          <t>صفة الكلام العقدية التفصيلية · فضائل سور بعينها</t>
        </is>
      </c>
      <c r="F2" s="5" t="inlineStr">
        <is>
          <t>ح2 · ح5</t>
        </is>
      </c>
      <c r="G2" s="7">
        <f>COUNTIFS(المقاطع!$B$2:$B$60,A2,المقاطع!$C$2:$C$60,"أساسي")</f>
        <v/>
      </c>
      <c r="H2" s="7">
        <f>COUNTIFS(المقاطع!$B$2:$B$60,A2,المقاطع!$C$2:$C$60,"أساسي",المقاطع!$U$2:$U$60,"قابل للنشر")</f>
        <v/>
      </c>
      <c r="I2" s="7">
        <f>IF(H2=0,"لا تغطية",IF(H2&lt;G2,"جزئية","مكتملة"))</f>
        <v/>
      </c>
    </row>
    <row r="3">
      <c r="A3" s="5" t="inlineStr">
        <is>
          <t>ح5</t>
        </is>
      </c>
      <c r="B3" s="5" t="inlineStr">
        <is>
          <t>التعرّف إلى القرآن</t>
        </is>
      </c>
      <c r="C3" s="5" t="inlineStr">
        <is>
          <t>ما أبرز موضوعات القرآن ورسالته؟</t>
        </is>
      </c>
      <c r="D3" s="5"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5" t="inlineStr">
        <is>
          <t>تفسير آية بعينها · الأحكام التفصيلية · مقارنة الأديان التفصيلية · التفصيل في نبي بعينه</t>
        </is>
      </c>
      <c r="F3" s="5" t="inlineStr">
        <is>
          <t>ح6</t>
        </is>
      </c>
      <c r="G3" s="7">
        <f>COUNTIFS(المقاطع!$B$2:$B$60,A3,المقاطع!$C$2:$C$60,"أساسي")</f>
        <v/>
      </c>
      <c r="H3" s="7">
        <f>COUNTIFS(المقاطع!$B$2:$B$60,A3,المقاطع!$C$2:$C$60,"أساسي",المقاطع!$U$2:$U$60,"قابل للنشر")</f>
        <v/>
      </c>
      <c r="I3" s="7">
        <f>IF(H3=0,"لا تغطية",IF(H3&lt;G3,"جزئية","مكتملة"))</f>
        <v/>
      </c>
    </row>
    <row r="4">
      <c r="A4" s="5" t="inlineStr">
        <is>
          <t>ح2</t>
        </is>
      </c>
      <c r="B4" s="5" t="inlineStr">
        <is>
          <t>نزول القرآن وحفظه</t>
        </is>
      </c>
      <c r="C4" s="5" t="inlineStr">
        <is>
          <t>كيف نزل القرآن؟</t>
        </is>
      </c>
      <c r="D4" s="5" t="inlineStr">
        <is>
          <t>«كيف وصل القرآن لمحمد؟» · «هل نزل القرآن مرة وحدة؟» · «ما هو الوحي؟» · «كم سنة استمر نزول القرآن؟» · «ما أول آية نزلت؟» · «ما معنى سورة مكية ومدنية؟»</t>
        </is>
      </c>
      <c r="E4" s="5" t="inlineStr">
        <is>
          <t>أسباب نزول آيات بعينها · الناسخ والمنسوخ</t>
        </is>
      </c>
      <c r="F4" s="5" t="inlineStr">
        <is>
          <t>ح3</t>
        </is>
      </c>
      <c r="G4" s="7">
        <f>COUNTIFS(المقاطع!$B$2:$B$60,A4,المقاطع!$C$2:$C$60,"أساسي")</f>
        <v/>
      </c>
      <c r="H4" s="7">
        <f>COUNTIFS(المقاطع!$B$2:$B$60,A4,المقاطع!$C$2:$C$60,"أساسي",المقاطع!$U$2:$U$60,"قابل للنشر")</f>
        <v/>
      </c>
      <c r="I4" s="7">
        <f>IF(H4=0,"لا تغطية",IF(H4&lt;G4,"جزئية","مكتملة"))</f>
        <v/>
      </c>
    </row>
    <row r="5">
      <c r="A5" s="5" t="inlineStr">
        <is>
          <t>ح3</t>
        </is>
      </c>
      <c r="B5" s="5" t="inlineStr">
        <is>
          <t>نزول القرآن وحفظه</t>
        </is>
      </c>
      <c r="C5" s="5" t="inlineStr">
        <is>
          <t>كيف حُفظ القرآن وجُمع؟</t>
        </is>
      </c>
      <c r="D5" s="5"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5" t="inlineStr">
        <is>
          <t>القراءات واختلافها (قرار نطاق) · الروايات الجدلية في الجمع · المخطوطات وشبهات المستشرقين التفصيلية</t>
        </is>
      </c>
      <c r="F5" s="5" t="inlineStr">
        <is>
          <t>ح7 · ح4</t>
        </is>
      </c>
      <c r="G5" s="7">
        <f>COUNTIFS(المقاطع!$B$2:$B$60,A5,المقاطع!$C$2:$C$60,"أساسي")</f>
        <v/>
      </c>
      <c r="H5" s="7">
        <f>COUNTIFS(المقاطع!$B$2:$B$60,A5,المقاطع!$C$2:$C$60,"أساسي",المقاطع!$U$2:$U$60,"قابل للنشر")</f>
        <v/>
      </c>
      <c r="I5" s="7">
        <f>IF(H5=0,"لا تغطية",IF(H5&lt;G5,"جزئية","مكتملة"))</f>
        <v/>
      </c>
    </row>
    <row r="6">
      <c r="A6" s="5" t="inlineStr">
        <is>
          <t>ح4</t>
        </is>
      </c>
      <c r="B6" s="5" t="inlineStr">
        <is>
          <t>البدء بالقراءة والفهم</t>
        </is>
      </c>
      <c r="C6" s="5" t="inlineStr">
        <is>
          <t>كيف تُنظَّم السور والآيات؟ وكيف أصل إلى آية؟</t>
        </is>
      </c>
      <c r="D6" s="5" t="inlineStr">
        <is>
          <t>«كم عدد سور القرآن؟» · «ما الفرق بين السورة والآية؟» · «كيف أجد آية في المصحف؟» · «ما معنى جزء عمّ؟» · «ليش السور مو مرتبة حسب نزولها؟» · «كيف أعرف رقم الآية؟»</t>
        </is>
      </c>
      <c r="E6" s="5" t="inlineStr">
        <is>
          <t>الخلاف في عدّ الآيات · «الإعجاز العددي»</t>
        </is>
      </c>
      <c r="F6" s="5" t="inlineStr">
        <is>
          <t>ح6</t>
        </is>
      </c>
      <c r="G6" s="7">
        <f>COUNTIFS(المقاطع!$B$2:$B$60,A6,المقاطع!$C$2:$C$60,"أساسي")</f>
        <v/>
      </c>
      <c r="H6" s="7">
        <f>COUNTIFS(المقاطع!$B$2:$B$60,A6,المقاطع!$C$2:$C$60,"أساسي",المقاطع!$U$2:$U$60,"قابل للنشر")</f>
        <v/>
      </c>
      <c r="I6" s="7">
        <f>IF(H6=0,"لا تغطية",IF(H6&lt;G6,"جزئية","مكتملة"))</f>
        <v/>
      </c>
    </row>
    <row r="7">
      <c r="A7" s="5" t="inlineStr">
        <is>
          <t>ح6</t>
        </is>
      </c>
      <c r="B7" s="5" t="inlineStr">
        <is>
          <t>البدء بالقراءة والفهم</t>
        </is>
      </c>
      <c r="C7" s="5" t="inlineStr">
        <is>
          <t>كيف أبدأ قراءة القرآن وفهم معانيه؟</t>
        </is>
      </c>
      <c r="D7" s="5"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5" t="inlineStr">
        <is>
          <t>أحكام التجويد التفصيلية · أحكام لمس المصحف وقراءة أصحاب الأعذار (فتوى) · تفسير آية بعينها</t>
        </is>
      </c>
      <c r="F7" s="5" t="inlineStr">
        <is>
          <t>ح5</t>
        </is>
      </c>
      <c r="G7" s="7">
        <f>COUNTIFS(المقاطع!$B$2:$B$60,A7,المقاطع!$C$2:$C$60,"أساسي")</f>
        <v/>
      </c>
      <c r="H7" s="7">
        <f>COUNTIFS(المقاطع!$B$2:$B$60,A7,المقاطع!$C$2:$C$60,"أساسي",المقاطع!$U$2:$U$60,"قابل للنشر")</f>
        <v/>
      </c>
      <c r="I7" s="7">
        <f>IF(H7=0,"لا تغطية",IF(H7&lt;G7,"جزئية","مكتملة"))</f>
        <v/>
      </c>
    </row>
    <row r="8">
      <c r="A8" s="5" t="inlineStr">
        <is>
          <t>ح7</t>
        </is>
      </c>
      <c r="B8" s="5" t="inlineStr">
        <is>
          <t>أسئلة عن مصدر القرآن</t>
        </is>
      </c>
      <c r="C8" s="5" t="inlineStr">
        <is>
          <t>لماذا يؤمن المسلمون أن القرآن من الله؟</t>
        </is>
      </c>
      <c r="D8" s="5"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5" t="inlineStr">
        <is>
          <t>«الإعجاز العلمي» (قرار نطاق) · الردود التفصيلية على المستشرقين</t>
        </is>
      </c>
      <c r="F8" s="5" t="inlineStr">
        <is>
          <t>ح3 · ح1</t>
        </is>
      </c>
      <c r="G8" s="7">
        <f>COUNTIFS(المقاطع!$B$2:$B$60,A8,المقاطع!$C$2:$C$60,"أساسي")</f>
        <v/>
      </c>
      <c r="H8" s="7">
        <f>COUNTIFS(المقاطع!$B$2:$B$60,A8,المقاطع!$C$2:$C$60,"أساسي",المقاطع!$U$2:$U$60,"قابل للنشر")</f>
        <v/>
      </c>
      <c r="I8" s="7">
        <f>IF(H8=0,"لا تغطية",IF(H8&lt;G8,"جزئية","مكتملة"))</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3"/>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7" customWidth="1" min="2" max="2"/>
    <col width="9" customWidth="1" min="3" max="3"/>
    <col width="7" customWidth="1" min="4" max="4"/>
    <col width="24" customWidth="1" min="5" max="5"/>
    <col width="30" customWidth="1" min="6" max="6"/>
    <col width="40" customWidth="1" min="7" max="7"/>
    <col width="30" customWidth="1" min="8" max="8"/>
    <col width="36" customWidth="1" min="9" max="9"/>
    <col width="80" customWidth="1" min="10" max="10"/>
    <col width="36" customWidth="1" min="11" max="11"/>
    <col width="36" customWidth="1" min="12" max="12"/>
    <col width="7" customWidth="1" min="13" max="13"/>
    <col width="7" customWidth="1" min="14" max="14"/>
    <col width="30" customWidth="1" min="15" max="15"/>
    <col width="10" customWidth="1" min="16" max="16"/>
    <col width="16" customWidth="1" min="17" max="17"/>
    <col width="14" customWidth="1" min="18" max="18"/>
    <col width="12" customWidth="1" min="19" max="19"/>
    <col width="34" customWidth="1" min="20" max="20"/>
    <col width="18" customWidth="1" min="21" max="21"/>
    <col width="50" customWidth="1" min="22" max="22"/>
  </cols>
  <sheetData>
    <row r="1" ht="34" customHeight="1">
      <c r="A1" s="4" t="inlineStr">
        <is>
          <t>رقم المقطع</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الجواب المعتمد (النص الحرفي)</t>
        </is>
      </c>
      <c r="K1" s="4" t="inlineStr">
        <is>
          <t>يجيب هذا المقطع عن</t>
        </is>
      </c>
      <c r="L1" s="4" t="inlineStr">
        <is>
          <t>صياغات المستخدم</t>
        </is>
      </c>
      <c r="M1" s="4" t="inlineStr">
        <is>
          <t>المستوى</t>
        </is>
      </c>
      <c r="N1" s="4" t="inlineStr">
        <is>
          <t>حساس؟</t>
        </is>
      </c>
      <c r="O1" s="4" t="inlineStr">
        <is>
          <t>آيات وأحاديث تحتاج توثيقاً</t>
        </is>
      </c>
      <c r="P1" s="4" t="inlineStr">
        <is>
          <t>اجتاز الفحوص السبعة؟</t>
        </is>
      </c>
      <c r="Q1" s="4" t="inlineStr">
        <is>
          <t>المراجع والتاريخ</t>
        </is>
      </c>
      <c r="R1" s="4" t="inlineStr">
        <is>
          <t>رأي المختص الأعلم</t>
        </is>
      </c>
      <c r="S1" s="4" t="inlineStr">
        <is>
          <t>الحالة</t>
        </is>
      </c>
      <c r="T1" s="4" t="inlineStr">
        <is>
          <t>ملاحظات</t>
        </is>
      </c>
      <c r="U1" s="4" t="inlineStr">
        <is>
          <t>صلاحية النشر</t>
        </is>
      </c>
      <c r="V1" s="4" t="inlineStr">
        <is>
          <t>لماذا هو حساس؟ (التفصيل في ورقة «للمختص»)</t>
        </is>
      </c>
    </row>
    <row r="2" ht="160" customHeight="1">
      <c r="A2" s="8" t="inlineStr">
        <is>
          <t>ق-01</t>
        </is>
      </c>
      <c r="B2" s="5" t="inlineStr">
        <is>
          <t>ح1</t>
        </is>
      </c>
      <c r="C2" s="5" t="inlineStr">
        <is>
          <t>أساسي</t>
        </is>
      </c>
      <c r="D2" s="6" t="inlineStr">
        <is>
          <t>م-02</t>
        </is>
      </c>
      <c r="E2" s="6" t="inlineStr">
        <is>
          <t>المبحث الثاني: تعريف القرآن اصطلاحاً، الفقرة الأولى — https://dorar.net/aqeeda/1365</t>
        </is>
      </c>
      <c r="F2" s="5" t="n"/>
      <c r="G2" s="5" t="n"/>
      <c r="H2" s="5" t="n"/>
      <c r="I2" s="5" t="inlineStr">
        <is>
          <t>—</t>
        </is>
      </c>
      <c r="J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2" s="6" t="inlineStr">
        <is>
          <t>ما القرآن؟ تعريفه: كلام الله المنزل على محمد ﷺ بواسطة جبريل، بلسان عربي، المنقول بالتواتر، المكتوب في المصحف، المتعبد بتلاوته.</t>
        </is>
      </c>
      <c r="L2" s="6" t="inlineStr">
        <is>
          <t>ما هو القرآن؟ | ما تعريف القرآن؟ | إيش يعني القرآن؟ | من أين جاء القرآن؟</t>
        </is>
      </c>
      <c r="M2" s="6" t="inlineStr">
        <is>
          <t>أ</t>
        </is>
      </c>
      <c r="N2" s="6" t="inlineStr">
        <is>
          <t>لا</t>
        </is>
      </c>
      <c r="O2" s="6" t="inlineStr">
        <is>
          <t>—</t>
        </is>
      </c>
      <c r="P2" s="6" t="n"/>
      <c r="Q2" s="6" t="n"/>
      <c r="R2" s="6" t="n"/>
      <c r="S2" s="6" t="inlineStr">
        <is>
          <t>جاهز للمراجعة</t>
        </is>
      </c>
      <c r="T2" s="6" t="inlineStr">
        <is>
          <t>فقرة كاملة من رأس المبحث.</t>
        </is>
      </c>
      <c r="U2" s="9">
        <f>IF(A2="","",IF(J2="","لم يُستخرج بعد",IF(OR(M2="ج",M2="د"),"المستوى لا يُنشر",IF(OR(IFERROR(INDEX(المصادر!$E$2:$E$20,MATCH(D2,المصادر!$A$2:$A$20,0)),"")&lt;&gt;"معروضة",IFERROR(INDEX(المصادر!$F$2:$F$20,MATCH(D2,المصادر!$A$2:$A$20,0)),"")&lt;&gt;"نعم"),"المصدر غير معتمد",IF(OR(B2="",E2="",K2="",M2="",N2=""),"بيانات ناقصة",IF(P2&lt;&gt;"نعم","لم يجتز الفحوص",IF(Q2="","المراجعة غير موثقة",IF(AND(N2="نعم",R2="موافق بتعديل"),"بانتظار تنفيذ التعديل",IF(AND(N2="نعم",R2&lt;&gt;"موافق"),"بانتظار رأي المختص",IF(S2&lt;&gt;"معتمد","لم يُعتمد","قابل للنشر"))))))))))</f>
        <v/>
      </c>
      <c r="V2" s="12" t="n"/>
    </row>
    <row r="3" ht="30" customHeight="1">
      <c r="A3" s="8" t="inlineStr">
        <is>
          <t>ق-02</t>
        </is>
      </c>
      <c r="B3" s="5" t="inlineStr">
        <is>
          <t>ح1</t>
        </is>
      </c>
      <c r="C3" s="5" t="inlineStr">
        <is>
          <t>أساسي</t>
        </is>
      </c>
      <c r="D3" s="6" t="inlineStr">
        <is>
          <t>م-02</t>
        </is>
      </c>
      <c r="E3" s="6" t="inlineStr">
        <is>
          <t>الدرر 1375</t>
        </is>
      </c>
      <c r="F3" s="5" t="inlineStr"/>
      <c r="G3" s="5" t="inlineStr"/>
      <c r="H3" s="5" t="inlineStr"/>
      <c r="I3" s="5" t="inlineStr"/>
      <c r="J3" s="6" t="inlineStr"/>
      <c r="K3" s="6" t="inlineStr">
        <is>
          <t>مكانة القرآن وفضله</t>
        </is>
      </c>
      <c r="L3" s="6" t="inlineStr"/>
      <c r="M3" s="6" t="inlineStr"/>
      <c r="N3" s="6" t="inlineStr"/>
      <c r="O3" s="6" t="inlineStr"/>
      <c r="P3" s="6" t="inlineStr"/>
      <c r="Q3" s="6" t="inlineStr"/>
      <c r="R3" s="6" t="inlineStr"/>
      <c r="S3" s="6" t="inlineStr">
        <is>
          <t>لم يُستخرج</t>
        </is>
      </c>
      <c r="T3" s="6" t="inlineStr"/>
      <c r="U3" s="9">
        <f>IF(A3="","",IF(J3="","لم يُستخرج بعد",IF(OR(M3="ج",M3="د"),"المستوى لا يُنشر",IF(OR(IFERROR(INDEX(المصادر!$E$2:$E$20,MATCH(D3,المصادر!$A$2:$A$20,0)),"")&lt;&gt;"معروضة",IFERROR(INDEX(المصادر!$F$2:$F$20,MATCH(D3,المصادر!$A$2:$A$20,0)),"")&lt;&gt;"نعم"),"المصدر غير معتمد",IF(OR(B3="",E3="",K3="",M3="",N3=""),"بيانات ناقصة",IF(P3&lt;&gt;"نعم","لم يجتز الفحوص",IF(Q3="","المراجعة غير موثقة",IF(AND(N3="نعم",R3="موافق بتعديل"),"بانتظار تنفيذ التعديل",IF(AND(N3="نعم",R3&lt;&gt;"موافق"),"بانتظار رأي المختص",IF(S3&lt;&gt;"معتمد","لم يُعتمد","قابل للنشر"))))))))))</f>
        <v/>
      </c>
    </row>
    <row r="4" ht="30" customHeight="1">
      <c r="A4" s="8" t="inlineStr">
        <is>
          <t>ق-03</t>
        </is>
      </c>
      <c r="B4" s="5" t="inlineStr">
        <is>
          <t>ح1</t>
        </is>
      </c>
      <c r="C4" s="5" t="inlineStr">
        <is>
          <t>أساسي</t>
        </is>
      </c>
      <c r="D4" s="6" t="inlineStr">
        <is>
          <t>م-02</t>
        </is>
      </c>
      <c r="E4" s="6" t="inlineStr">
        <is>
          <t>الدرر 1392</t>
        </is>
      </c>
      <c r="F4" s="5" t="inlineStr"/>
      <c r="G4" s="5" t="inlineStr"/>
      <c r="H4" s="5" t="inlineStr"/>
      <c r="I4" s="5" t="inlineStr"/>
      <c r="J4" s="6" t="inlineStr"/>
      <c r="K4" s="6" t="inlineStr">
        <is>
          <t>خصائص القرآن: مصدّق لما قبله ومهيمن عليه</t>
        </is>
      </c>
      <c r="L4" s="6" t="inlineStr"/>
      <c r="M4" s="6" t="inlineStr"/>
      <c r="N4" s="6" t="inlineStr"/>
      <c r="O4" s="6" t="inlineStr"/>
      <c r="P4" s="6" t="inlineStr"/>
      <c r="Q4" s="6" t="inlineStr"/>
      <c r="R4" s="6" t="inlineStr"/>
      <c r="S4" s="6" t="inlineStr">
        <is>
          <t>لم يُستخرج</t>
        </is>
      </c>
      <c r="T4" s="6" t="inlineStr"/>
      <c r="U4" s="9">
        <f>IF(A4="","",IF(J4="","لم يُستخرج بعد",IF(OR(M4="ج",M4="د"),"المستوى لا يُنشر",IF(OR(IFERROR(INDEX(المصادر!$E$2:$E$20,MATCH(D4,المصادر!$A$2:$A$20,0)),"")&lt;&gt;"معروضة",IFERROR(INDEX(المصادر!$F$2:$F$20,MATCH(D4,المصادر!$A$2:$A$20,0)),"")&lt;&gt;"نعم"),"المصدر غير معتمد",IF(OR(B4="",E4="",K4="",M4="",N4=""),"بيانات ناقصة",IF(P4&lt;&gt;"نعم","لم يجتز الفحوص",IF(Q4="","المراجعة غير موثقة",IF(AND(N4="نعم",R4="موافق بتعديل"),"بانتظار تنفيذ التعديل",IF(AND(N4="نعم",R4&lt;&gt;"موافق"),"بانتظار رأي المختص",IF(S4&lt;&gt;"معتمد","لم يُعتمد","قابل للنشر"))))))))))</f>
        <v/>
      </c>
    </row>
    <row r="5" ht="120" customHeight="1">
      <c r="A5" s="8" t="inlineStr">
        <is>
          <t>ق-32</t>
        </is>
      </c>
      <c r="B5" s="5" t="inlineStr">
        <is>
          <t>ح1</t>
        </is>
      </c>
      <c r="C5" s="5" t="inlineStr">
        <is>
          <t>إضافي</t>
        </is>
      </c>
      <c r="D5" s="6" t="inlineStr">
        <is>
          <t>م-01</t>
        </is>
      </c>
      <c r="E5" s="6" t="inlineStr">
        <is>
          <t>المسألة (119)، ص545–ص546 — مختصر الإجابة</t>
        </is>
      </c>
      <c r="F5" s="5" t="inlineStr">
        <is>
          <t>هل القرآن الكريم يغني عن السنة النبوية؟</t>
        </is>
      </c>
      <c r="G5"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5" s="5" t="inlineStr">
        <is>
          <t>هل صحيح أن الدين يؤخذ من القرآن، وأما السنة النبوية، فاجتهادات شخصية؟</t>
        </is>
      </c>
      <c r="I5" s="5"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5"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5" s="6" t="inlineStr">
        <is>
          <t>يبين أن السنة النبوية حجة، وأنها مصدر لتبيين معاني القرآن لا يُستغنى عنه.</t>
        </is>
      </c>
      <c r="L5" s="6" t="inlineStr">
        <is>
          <t>هل يكفي القرآن وحده؟ | ما علاقة الحديث بالقرآن؟</t>
        </is>
      </c>
      <c r="M5" s="6" t="inlineStr">
        <is>
          <t>ب</t>
        </is>
      </c>
      <c r="N5" s="6" t="inlineStr">
        <is>
          <t>نعم</t>
        </is>
      </c>
      <c r="O5" s="6" t="inlineStr">
        <is>
          <t>لا يوجد في المختصر (آيتان في نص السؤال); آية في السؤال المصدري</t>
        </is>
      </c>
      <c r="P5" s="6" t="inlineStr">
        <is>
          <t>نعم</t>
        </is>
      </c>
      <c r="Q5" s="6" t="inlineStr">
        <is>
          <t>محمد — 2026-10-04</t>
        </is>
      </c>
      <c r="R5" s="6">
        <f>IF(للمختص!H14="","",للمختص!H14)</f>
        <v/>
      </c>
      <c r="S5" s="6" t="inlineStr">
        <is>
          <t>معتمد</t>
        </is>
      </c>
      <c r="T5" s="6" t="inlineStr">
        <is>
          <t>أسلوب جدلي؛ لا يعرّف الحديث. ق-04 يبقى بحاجة إلى مقطع تعريفي.</t>
        </is>
      </c>
      <c r="U5" s="9">
        <f>IF(A5="","",IF(J5="","لم يُستخرج بعد",IF(OR(M5="ج",M5="د"),"المستوى لا يُنشر",IF(OR(IFERROR(INDEX(المصادر!$E$2:$E$20,MATCH(D5,المصادر!$A$2:$A$20,0)),"")&lt;&gt;"معروضة",IFERROR(INDEX(المصادر!$F$2:$F$20,MATCH(D5,المصادر!$A$2:$A$20,0)),"")&lt;&gt;"نعم"),"المصدر غير معتمد",IF(OR(B5="",E5="",K5="",M5="",N5=""),"بيانات ناقصة",IF(P5&lt;&gt;"نعم","لم يجتز الفحوص",IF(Q5="","المراجعة غير موثقة",IF(AND(N5="نعم",R5="موافق بتعديل"),"بانتظار تنفيذ التعديل",IF(AND(N5="نعم",R5&lt;&gt;"موافق"),"بانتظار رأي المختص",IF(S5&lt;&gt;"معتمد","لم يُعتمد","قابل للنشر"))))))))))</f>
        <v/>
      </c>
      <c r="V5" s="5" t="inlineStr">
        <is>
          <t>حجية السنة مسألة أصولية عقدية. الأسلوب جدلي («اللوازم الفاسدة»، «قلة الأدب معه ﷺ»)، وقد يُفهم منه حكم على من ينكر السنة، وهذا يقترب من المستوى ج.</t>
        </is>
      </c>
    </row>
    <row r="6" ht="30" customHeight="1">
      <c r="A6" s="8" t="inlineStr">
        <is>
          <t>ق-05</t>
        </is>
      </c>
      <c r="B6" s="5" t="inlineStr">
        <is>
          <t>ح5</t>
        </is>
      </c>
      <c r="C6" s="5" t="inlineStr">
        <is>
          <t>أساسي</t>
        </is>
      </c>
      <c r="D6" s="6" t="inlineStr">
        <is>
          <t>م-04</t>
        </is>
      </c>
      <c r="E6" s="6" t="inlineStr"/>
      <c r="F6" s="5" t="inlineStr"/>
      <c r="G6" s="5" t="inlineStr"/>
      <c r="H6" s="5" t="inlineStr"/>
      <c r="I6" s="5" t="inlineStr"/>
      <c r="J6" s="6" t="inlineStr"/>
      <c r="K6" s="6" t="inlineStr">
        <is>
          <t>التوحيد وعبادة الله: الرسالة المحورية للقرآن</t>
        </is>
      </c>
      <c r="L6" s="6" t="inlineStr"/>
      <c r="M6" s="6" t="inlineStr"/>
      <c r="N6" s="6" t="inlineStr"/>
      <c r="O6" s="6" t="inlineStr"/>
      <c r="P6" s="6" t="inlineStr"/>
      <c r="Q6" s="6" t="inlineStr"/>
      <c r="R6" s="6" t="inlineStr"/>
      <c r="S6" s="6" t="inlineStr">
        <is>
          <t>لم يُستخرج</t>
        </is>
      </c>
      <c r="T6" s="6" t="inlineStr"/>
      <c r="U6" s="9">
        <f>IF(A6="","",IF(J6="","لم يُستخرج بعد",IF(OR(M6="ج",M6="د"),"المستوى لا يُنشر",IF(OR(IFERROR(INDEX(المصادر!$E$2:$E$20,MATCH(D6,المصادر!$A$2:$A$20,0)),"")&lt;&gt;"معروضة",IFERROR(INDEX(المصادر!$F$2:$F$20,MATCH(D6,المصادر!$A$2:$A$20,0)),"")&lt;&gt;"نعم"),"المصدر غير معتمد",IF(OR(B6="",E6="",K6="",M6="",N6=""),"بيانات ناقصة",IF(P6&lt;&gt;"نعم","لم يجتز الفحوص",IF(Q6="","المراجعة غير موثقة",IF(AND(N6="نعم",R6="موافق بتعديل"),"بانتظار تنفيذ التعديل",IF(AND(N6="نعم",R6&lt;&gt;"موافق"),"بانتظار رأي المختص",IF(S6&lt;&gt;"معتمد","لم يُعتمد","قابل للنشر"))))))))))</f>
        <v/>
      </c>
    </row>
    <row r="7" ht="30" customHeight="1">
      <c r="A7" s="8" t="inlineStr">
        <is>
          <t>ق-06</t>
        </is>
      </c>
      <c r="B7" s="5" t="inlineStr">
        <is>
          <t>ح5</t>
        </is>
      </c>
      <c r="C7" s="5" t="inlineStr">
        <is>
          <t>أساسي</t>
        </is>
      </c>
      <c r="D7" s="6" t="inlineStr">
        <is>
          <t>م-04</t>
        </is>
      </c>
      <c r="E7" s="6" t="inlineStr"/>
      <c r="F7" s="5" t="inlineStr"/>
      <c r="G7" s="5" t="inlineStr"/>
      <c r="H7" s="5" t="inlineStr"/>
      <c r="I7" s="5" t="inlineStr"/>
      <c r="J7" s="6" t="inlineStr"/>
      <c r="K7" s="6" t="inlineStr">
        <is>
          <t>الأنبياء وقصصهم في القرآن</t>
        </is>
      </c>
      <c r="L7" s="6" t="inlineStr"/>
      <c r="M7" s="6" t="inlineStr"/>
      <c r="N7" s="6" t="inlineStr"/>
      <c r="O7" s="6" t="inlineStr"/>
      <c r="P7" s="6" t="inlineStr"/>
      <c r="Q7" s="6" t="inlineStr"/>
      <c r="R7" s="6" t="inlineStr"/>
      <c r="S7" s="6" t="inlineStr">
        <is>
          <t>لم يُستخرج</t>
        </is>
      </c>
      <c r="T7" s="6" t="inlineStr"/>
      <c r="U7" s="9">
        <f>IF(A7="","",IF(J7="","لم يُستخرج بعد",IF(OR(M7="ج",M7="د"),"المستوى لا يُنشر",IF(OR(IFERROR(INDEX(المصادر!$E$2:$E$20,MATCH(D7,المصادر!$A$2:$A$20,0)),"")&lt;&gt;"معروضة",IFERROR(INDEX(المصادر!$F$2:$F$20,MATCH(D7,المصادر!$A$2:$A$20,0)),"")&lt;&gt;"نعم"),"المصدر غير معتمد",IF(OR(B7="",E7="",K7="",M7="",N7=""),"بيانات ناقصة",IF(P7&lt;&gt;"نعم","لم يجتز الفحوص",IF(Q7="","المراجعة غير موثقة",IF(AND(N7="نعم",R7="موافق بتعديل"),"بانتظار تنفيذ التعديل",IF(AND(N7="نعم",R7&lt;&gt;"موافق"),"بانتظار رأي المختص",IF(S7&lt;&gt;"معتمد","لم يُعتمد","قابل للنشر"))))))))))</f>
        <v/>
      </c>
    </row>
    <row r="8" ht="30" customHeight="1">
      <c r="A8" s="8" t="inlineStr">
        <is>
          <t>ق-07</t>
        </is>
      </c>
      <c r="B8" s="5" t="inlineStr">
        <is>
          <t>ح5</t>
        </is>
      </c>
      <c r="C8" s="5" t="inlineStr">
        <is>
          <t>أساسي</t>
        </is>
      </c>
      <c r="D8" s="6" t="inlineStr">
        <is>
          <t>م-04</t>
        </is>
      </c>
      <c r="E8" s="6" t="inlineStr"/>
      <c r="F8" s="5" t="inlineStr"/>
      <c r="G8" s="5" t="inlineStr"/>
      <c r="H8" s="5" t="inlineStr"/>
      <c r="I8" s="5" t="inlineStr"/>
      <c r="J8" s="6" t="inlineStr"/>
      <c r="K8" s="6" t="inlineStr">
        <is>
          <t>اليوم الآخر والقيم في القرآن إجمالاً</t>
        </is>
      </c>
      <c r="L8" s="6" t="inlineStr"/>
      <c r="M8" s="6" t="inlineStr"/>
      <c r="N8" s="6" t="inlineStr"/>
      <c r="O8" s="6" t="inlineStr"/>
      <c r="P8" s="6" t="inlineStr"/>
      <c r="Q8" s="6" t="inlineStr"/>
      <c r="R8" s="6" t="inlineStr"/>
      <c r="S8" s="6" t="inlineStr">
        <is>
          <t>لم يُستخرج</t>
        </is>
      </c>
      <c r="T8" s="6" t="inlineStr"/>
      <c r="U8" s="9">
        <f>IF(A8="","",IF(J8="","لم يُستخرج بعد",IF(OR(M8="ج",M8="د"),"المستوى لا يُنشر",IF(OR(IFERROR(INDEX(المصادر!$E$2:$E$20,MATCH(D8,المصادر!$A$2:$A$20,0)),"")&lt;&gt;"معروضة",IFERROR(INDEX(المصادر!$F$2:$F$20,MATCH(D8,المصادر!$A$2:$A$20,0)),"")&lt;&gt;"نعم"),"المصدر غير معتمد",IF(OR(B8="",E8="",K8="",M8="",N8=""),"بيانات ناقصة",IF(P8&lt;&gt;"نعم","لم يجتز الفحوص",IF(Q8="","المراجعة غير موثقة",IF(AND(N8="نعم",R8="موافق بتعديل"),"بانتظار تنفيذ التعديل",IF(AND(N8="نعم",R8&lt;&gt;"موافق"),"بانتظار رأي المختص",IF(S8&lt;&gt;"معتمد","لم يُعتمد","قابل للنشر"))))))))))</f>
        <v/>
      </c>
    </row>
    <row r="9" ht="30" customHeight="1">
      <c r="A9" s="8" t="inlineStr">
        <is>
          <t>ق-08</t>
        </is>
      </c>
      <c r="B9" s="5" t="inlineStr">
        <is>
          <t>ح2</t>
        </is>
      </c>
      <c r="C9" s="5" t="inlineStr">
        <is>
          <t>أساسي</t>
        </is>
      </c>
      <c r="D9" s="6" t="inlineStr">
        <is>
          <t>م-03</t>
        </is>
      </c>
      <c r="E9" s="6" t="inlineStr"/>
      <c r="F9" s="5" t="inlineStr"/>
      <c r="G9" s="5" t="inlineStr"/>
      <c r="H9" s="5" t="inlineStr"/>
      <c r="I9" s="5" t="inlineStr"/>
      <c r="J9" s="6" t="inlineStr"/>
      <c r="K9" s="6" t="inlineStr">
        <is>
          <t>الوحي: كيف كان يأتي النبي ﷺ</t>
        </is>
      </c>
      <c r="L9" s="6" t="inlineStr"/>
      <c r="M9" s="6" t="inlineStr"/>
      <c r="N9" s="6" t="inlineStr"/>
      <c r="O9" s="6" t="inlineStr"/>
      <c r="P9" s="6" t="inlineStr"/>
      <c r="Q9" s="6" t="inlineStr"/>
      <c r="R9" s="6" t="inlineStr"/>
      <c r="S9" s="6" t="inlineStr">
        <is>
          <t>لم يُستخرج</t>
        </is>
      </c>
      <c r="T9" s="6" t="inlineStr"/>
      <c r="U9" s="9">
        <f>IF(A9="","",IF(J9="","لم يُستخرج بعد",IF(OR(M9="ج",M9="د"),"المستوى لا يُنشر",IF(OR(IFERROR(INDEX(المصادر!$E$2:$E$20,MATCH(D9,المصادر!$A$2:$A$20,0)),"")&lt;&gt;"معروضة",IFERROR(INDEX(المصادر!$F$2:$F$20,MATCH(D9,المصادر!$A$2:$A$20,0)),"")&lt;&gt;"نعم"),"المصدر غير معتمد",IF(OR(B9="",E9="",K9="",M9="",N9=""),"بيانات ناقصة",IF(P9&lt;&gt;"نعم","لم يجتز الفحوص",IF(Q9="","المراجعة غير موثقة",IF(AND(N9="نعم",R9="موافق بتعديل"),"بانتظار تنفيذ التعديل",IF(AND(N9="نعم",R9&lt;&gt;"موافق"),"بانتظار رأي المختص",IF(S9&lt;&gt;"معتمد","لم يُعتمد","قابل للنشر"))))))))))</f>
        <v/>
      </c>
    </row>
    <row r="10" ht="30" customHeight="1">
      <c r="A10" s="8" t="inlineStr">
        <is>
          <t>ق-09</t>
        </is>
      </c>
      <c r="B10" s="5" t="inlineStr">
        <is>
          <t>ح2</t>
        </is>
      </c>
      <c r="C10" s="5" t="inlineStr">
        <is>
          <t>أساسي</t>
        </is>
      </c>
      <c r="D10" s="6" t="inlineStr">
        <is>
          <t>م-03</t>
        </is>
      </c>
      <c r="E10" s="6" t="inlineStr"/>
      <c r="F10" s="5" t="inlineStr"/>
      <c r="G10" s="5" t="inlineStr"/>
      <c r="H10" s="5" t="inlineStr"/>
      <c r="I10" s="5" t="inlineStr"/>
      <c r="J10" s="6" t="inlineStr"/>
      <c r="K10" s="6" t="inlineStr">
        <is>
          <t>بداية نزول القرآن ونزوله مفرّقاً</t>
        </is>
      </c>
      <c r="L10" s="6" t="inlineStr"/>
      <c r="M10" s="6" t="inlineStr"/>
      <c r="N10" s="6" t="inlineStr"/>
      <c r="O10" s="6" t="inlineStr"/>
      <c r="P10" s="6" t="inlineStr"/>
      <c r="Q10" s="6" t="inlineStr"/>
      <c r="R10" s="6" t="inlineStr"/>
      <c r="S10" s="6" t="inlineStr">
        <is>
          <t>لم يُستخرج</t>
        </is>
      </c>
      <c r="T10" s="6" t="inlineStr"/>
      <c r="U10" s="9">
        <f>IF(A10="","",IF(J10="","لم يُستخرج بعد",IF(OR(M10="ج",M10="د"),"المستوى لا يُنشر",IF(OR(IFERROR(INDEX(المصادر!$E$2:$E$20,MATCH(D10,المصادر!$A$2:$A$20,0)),"")&lt;&gt;"معروضة",IFERROR(INDEX(المصادر!$F$2:$F$20,MATCH(D10,المصادر!$A$2:$A$20,0)),"")&lt;&gt;"نعم"),"المصدر غير معتمد",IF(OR(B10="",E10="",K10="",M10="",N10=""),"بيانات ناقصة",IF(P10&lt;&gt;"نعم","لم يجتز الفحوص",IF(Q10="","المراجعة غير موثقة",IF(AND(N10="نعم",R10="موافق بتعديل"),"بانتظار تنفيذ التعديل",IF(AND(N10="نعم",R10&lt;&gt;"موافق"),"بانتظار رأي المختص",IF(S10&lt;&gt;"معتمد","لم يُعتمد","قابل للنشر"))))))))))</f>
        <v/>
      </c>
    </row>
    <row r="11" ht="30" customHeight="1">
      <c r="A11" s="8" t="inlineStr">
        <is>
          <t>ق-10</t>
        </is>
      </c>
      <c r="B11" s="5" t="inlineStr">
        <is>
          <t>ح2</t>
        </is>
      </c>
      <c r="C11" s="5" t="inlineStr">
        <is>
          <t>أساسي</t>
        </is>
      </c>
      <c r="D11" s="6" t="inlineStr">
        <is>
          <t>م-03</t>
        </is>
      </c>
      <c r="E11" s="6" t="inlineStr"/>
      <c r="F11" s="5" t="inlineStr"/>
      <c r="G11" s="5" t="inlineStr"/>
      <c r="H11" s="5" t="inlineStr"/>
      <c r="I11" s="5" t="inlineStr"/>
      <c r="J11" s="6" t="inlineStr"/>
      <c r="K11" s="6" t="inlineStr">
        <is>
          <t>المكي والمدني</t>
        </is>
      </c>
      <c r="L11" s="6" t="inlineStr"/>
      <c r="M11" s="6" t="inlineStr"/>
      <c r="N11" s="6" t="inlineStr"/>
      <c r="O11" s="6" t="inlineStr"/>
      <c r="P11" s="6" t="inlineStr"/>
      <c r="Q11" s="6" t="inlineStr"/>
      <c r="R11" s="6" t="inlineStr"/>
      <c r="S11" s="6" t="inlineStr">
        <is>
          <t>لم يُستخرج</t>
        </is>
      </c>
      <c r="T11" s="6" t="inlineStr"/>
      <c r="U11" s="9">
        <f>IF(A11="","",IF(J11="","لم يُستخرج بعد",IF(OR(M11="ج",M11="د"),"المستوى لا يُنشر",IF(OR(IFERROR(INDEX(المصادر!$E$2:$E$20,MATCH(D11,المصادر!$A$2:$A$20,0)),"")&lt;&gt;"معروضة",IFERROR(INDEX(المصادر!$F$2:$F$20,MATCH(D11,المصادر!$A$2:$A$20,0)),"")&lt;&gt;"نعم"),"المصدر غير معتمد",IF(OR(B11="",E11="",K11="",M11="",N11=""),"بيانات ناقصة",IF(P11&lt;&gt;"نعم","لم يجتز الفحوص",IF(Q11="","المراجعة غير موثقة",IF(AND(N11="نعم",R11="موافق بتعديل"),"بانتظار تنفيذ التعديل",IF(AND(N11="نعم",R11&lt;&gt;"موافق"),"بانتظار رأي المختص",IF(S11&lt;&gt;"معتمد","لم يُعتمد","قابل للنشر"))))))))))</f>
        <v/>
      </c>
    </row>
    <row r="12" ht="120" customHeight="1">
      <c r="A12" s="8" t="inlineStr">
        <is>
          <t>ق-29</t>
        </is>
      </c>
      <c r="B12" s="5" t="inlineStr">
        <is>
          <t>ح2</t>
        </is>
      </c>
      <c r="C12" s="5" t="inlineStr">
        <is>
          <t>إضافي</t>
        </is>
      </c>
      <c r="D12" s="6" t="inlineStr">
        <is>
          <t>م-01</t>
        </is>
      </c>
      <c r="E12" s="6" t="inlineStr">
        <is>
          <t>المسألة (40)، ص192–ص192 — مختصر الإجابة</t>
        </is>
      </c>
      <c r="F12" s="5" t="inlineStr">
        <is>
          <t>اختلاف أسلوب القرآن المكي والمدني.</t>
        </is>
      </c>
      <c r="G12" s="5" t="inlineStr">
        <is>
          <t>تغير أسلوب القرآن المدني عن القرآن المكي من الشدة إلى اللين، يدل على تأثره بالبيئة؛ وهذا يدل على أنه من فعل البشر.</t>
        </is>
      </c>
      <c r="H12" s="5" t="inlineStr">
        <is>
          <t>هل تأثر أسلوب القرآن بالبيئة التي نزل فيها؟</t>
        </is>
      </c>
      <c r="I12" s="5" t="inlineStr">
        <is>
          <t>—</t>
        </is>
      </c>
      <c r="J12"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2" s="6" t="inlineStr">
        <is>
          <t>يبين أن القرآن المكي والمدني كليهما فيه اللين والشدة، وأن الخطاب يراعي حال المخاطبين.</t>
        </is>
      </c>
      <c r="L12" s="6" t="inlineStr">
        <is>
          <t>ما الفرق بين أسلوب السور المكية والمدنية؟</t>
        </is>
      </c>
      <c r="M12" s="6" t="inlineStr">
        <is>
          <t>ب</t>
        </is>
      </c>
      <c r="N12" s="6" t="inlineStr">
        <is>
          <t>لا</t>
        </is>
      </c>
      <c r="O12" s="6" t="inlineStr">
        <is>
          <t>لا يوجد في المختصر</t>
        </is>
      </c>
      <c r="P12" s="6" t="inlineStr">
        <is>
          <t>نعم</t>
        </is>
      </c>
      <c r="Q12" s="6" t="inlineStr">
        <is>
          <t>محمد — 2026-10-04</t>
        </is>
      </c>
      <c r="R12" s="6" t="inlineStr"/>
      <c r="S12" s="6" t="inlineStr">
        <is>
          <t>معتمد</t>
        </is>
      </c>
      <c r="T12" s="6" t="inlineStr">
        <is>
          <t>فيه إحالة «بهذا القول المذكور في السؤال». ق-10 (التعريف) يبقى بحاجة إلى م-03.</t>
        </is>
      </c>
      <c r="U12" s="9">
        <f>IF(A12="","",IF(J12="","لم يُستخرج بعد",IF(OR(M12="ج",M12="د"),"المستوى لا يُنشر",IF(OR(IFERROR(INDEX(المصادر!$E$2:$E$20,MATCH(D12,المصادر!$A$2:$A$20,0)),"")&lt;&gt;"معروضة",IFERROR(INDEX(المصادر!$F$2:$F$20,MATCH(D12,المصادر!$A$2:$A$20,0)),"")&lt;&gt;"نعم"),"المصدر غير معتمد",IF(OR(B12="",E12="",K12="",M12="",N12=""),"بيانات ناقصة",IF(P12&lt;&gt;"نعم","لم يجتز الفحوص",IF(Q12="","المراجعة غير موثقة",IF(AND(N12="نعم",R12="موافق بتعديل"),"بانتظار تنفيذ التعديل",IF(AND(N12="نعم",R12&lt;&gt;"موافق"),"بانتظار رأي المختص",IF(S12&lt;&gt;"معتمد","لم يُعتمد","قابل للنشر"))))))))))</f>
        <v/>
      </c>
    </row>
    <row r="13" ht="120" customHeight="1">
      <c r="A13" s="8" t="inlineStr">
        <is>
          <t>ق-30</t>
        </is>
      </c>
      <c r="B13" s="5" t="inlineStr">
        <is>
          <t>ح2</t>
        </is>
      </c>
      <c r="C13" s="5" t="inlineStr">
        <is>
          <t>إضافي</t>
        </is>
      </c>
      <c r="D13" s="6" t="inlineStr">
        <is>
          <t>م-01</t>
        </is>
      </c>
      <c r="E13" s="6" t="inlineStr">
        <is>
          <t>المسألة (103)، ص472–ص473 — مختصر الإجابة</t>
        </is>
      </c>
      <c r="F13" s="5" t="inlineStr">
        <is>
          <t>لماذا يكون الوحي بطرق خفية، ولا يأتي جبريل بصورته الحقيقية مبلغا الناس ما يريده؟</t>
        </is>
      </c>
      <c r="G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3" s="5" t="inlineStr">
        <is>
          <t>هل الوحي يجب أن يأتي به الملك بصورته الحقيقية؟</t>
        </is>
      </c>
      <c r="I13" s="5" t="inlineStr">
        <is>
          <t>إن إرسال جبريل في صورته الحقيقية، مبلغا الرسول بصوت واضح ما يريده، هو الأمر الأولى في صور الوحي من وجهة نظر السائل، دون الطرق الخفية.</t>
        </is>
      </c>
      <c r="J13"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3" s="6" t="inlineStr">
        <is>
          <t>يبين أن المطلوب هو التصديق بالنبوة بأدلتها، لا معرفة كيفية مجيء الوحي، وأن خفاء الطريقة من حكمة الابتلاء.</t>
        </is>
      </c>
      <c r="L13" s="6" t="inlineStr">
        <is>
          <t>لماذا لم ير الناس جبريل؟ | لماذا كان الوحي خفيا؟</t>
        </is>
      </c>
      <c r="M13" s="6" t="inlineStr">
        <is>
          <t>ب</t>
        </is>
      </c>
      <c r="N13" s="6" t="inlineStr">
        <is>
          <t>نعم</t>
        </is>
      </c>
      <c r="O13" s="6" t="inlineStr">
        <is>
          <t>—</t>
        </is>
      </c>
      <c r="P13" s="6" t="inlineStr">
        <is>
          <t>نعم</t>
        </is>
      </c>
      <c r="Q13" s="6" t="inlineStr">
        <is>
          <t>محمد — 2026-10-04</t>
        </is>
      </c>
      <c r="R13" s="6">
        <f>IF(للمختص!H13="","",للمختص!H13)</f>
        <v/>
      </c>
      <c r="S13" s="6" t="inlineStr">
        <is>
          <t>معتمد</t>
        </is>
      </c>
      <c r="T13" s="6" t="inlineStr">
        <is>
          <t>ق-08 (صور الوحي) يبقى بحاجة إلى مادة أخرى.</t>
        </is>
      </c>
      <c r="U13" s="9">
        <f>IF(A13="","",IF(J13="","لم يُستخرج بعد",IF(OR(M13="ج",M13="د"),"المستوى لا يُنشر",IF(OR(IFERROR(INDEX(المصادر!$E$2:$E$20,MATCH(D13,المصادر!$A$2:$A$20,0)),"")&lt;&gt;"معروضة",IFERROR(INDEX(المصادر!$F$2:$F$20,MATCH(D13,المصادر!$A$2:$A$20,0)),"")&lt;&gt;"نعم"),"المصدر غير معتمد",IF(OR(B13="",E13="",K13="",M13="",N13=""),"بيانات ناقصة",IF(P13&lt;&gt;"نعم","لم يجتز الفحوص",IF(Q13="","المراجعة غير موثقة",IF(AND(N13="نعم",R13="موافق بتعديل"),"بانتظار تنفيذ التعديل",IF(AND(N13="نعم",R13&lt;&gt;"موافق"),"بانتظار رأي المختص",IF(S13&lt;&gt;"معتمد","لم يُعتمد","قابل للنشر"))))))))))</f>
        <v/>
      </c>
      <c r="V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row>
    <row r="14" ht="120" customHeight="1">
      <c r="A14" s="8" t="inlineStr">
        <is>
          <t>ق-11</t>
        </is>
      </c>
      <c r="B14" s="5" t="inlineStr">
        <is>
          <t>ح3</t>
        </is>
      </c>
      <c r="C14" s="5" t="inlineStr">
        <is>
          <t>أساسي</t>
        </is>
      </c>
      <c r="D14" s="6" t="inlineStr">
        <is>
          <t>م-01</t>
        </is>
      </c>
      <c r="E14" s="6" t="inlineStr">
        <is>
          <t>المسألة (42)، ص201–ص201 — الجواب التفصيلي</t>
        </is>
      </c>
      <c r="F14" s="5" t="inlineStr">
        <is>
          <t>ادعاء أن القرآن لم يدون كله ولم يجمع في عهد النبي ﷺ.</t>
        </is>
      </c>
      <c r="G14" s="5" t="inlineStr">
        <is>
          <t>لم يجمع القرآن كتابة في عهد النبي، وقد وقع التحريف والتبديل حين جمعه الصحابة؛ والدليل اختلافهم في بعض الآيات.</t>
        </is>
      </c>
      <c r="H14" s="5" t="inlineStr">
        <is>
          <t>جمع القرآن. | تدوين القرآن الكريم.</t>
        </is>
      </c>
      <c r="I14" s="5" t="inlineStr">
        <is>
          <t>عن تدوين القرآن وجمعه، هل تم كل ذلك في عهد النبي ﷺ، فإذا لم يحصل، كان هذا دليلا على إمكانية وقوع التحريف فيه.</t>
        </is>
      </c>
      <c r="J14"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4" s="6" t="inlineStr">
        <is>
          <t>يعدد الطرق التي حُفظ بها القرآن زمن النبي ﷺ: الحفظ في صدور الصحابة، والتدوين فور النزول، ومعارضة جبريل له كل عام، وعدالة كتبته.</t>
        </is>
      </c>
      <c r="L14" s="6" t="inlineStr">
        <is>
          <t>كيف حُفظ القرآن زمن النبي؟ | هل كان الصحابة يحفظون القرآن؟ | من كان يكتب الوحي؟</t>
        </is>
      </c>
      <c r="M14" s="6" t="inlineStr">
        <is>
          <t>أ</t>
        </is>
      </c>
      <c r="N14" s="6" t="inlineStr">
        <is>
          <t>لا</t>
        </is>
      </c>
      <c r="O14" s="6" t="inlineStr">
        <is>
          <t>البند 3 يشير إلى حديث معارضة جبريل للنبي ﷺ (البخاري) دون نصه — يُوثَّق من الدرر</t>
        </is>
      </c>
      <c r="P14" s="6" t="inlineStr">
        <is>
          <t>نعم</t>
        </is>
      </c>
      <c r="Q14" s="6" t="inlineStr">
        <is>
          <t>محمد — 2026-10-04</t>
        </is>
      </c>
      <c r="R14" s="6" t="inlineStr"/>
      <c r="S14" s="6" t="inlineStr">
        <is>
          <t>معتمد</t>
        </is>
      </c>
      <c r="T14" s="6" t="inlineStr">
        <is>
          <t>جزء من الجواب التفصيلي لمسألة شبهة؛ يبدأ بـ«أولا» فيُحذف الترقيم عند العرض إن رأيت ذلك (تعديل شكلي يُسجَّل).</t>
        </is>
      </c>
      <c r="U14" s="9">
        <f>IF(A14="","",IF(J14="","لم يُستخرج بعد",IF(OR(M14="ج",M14="د"),"المستوى لا يُنشر",IF(OR(IFERROR(INDEX(المصادر!$E$2:$E$20,MATCH(D14,المصادر!$A$2:$A$20,0)),"")&lt;&gt;"معروضة",IFERROR(INDEX(المصادر!$F$2:$F$20,MATCH(D14,المصادر!$A$2:$A$20,0)),"")&lt;&gt;"نعم"),"المصدر غير معتمد",IF(OR(B14="",E14="",K14="",M14="",N14=""),"بيانات ناقصة",IF(P14&lt;&gt;"نعم","لم يجتز الفحوص",IF(Q14="","المراجعة غير موثقة",IF(AND(N14="نعم",R14="موافق بتعديل"),"بانتظار تنفيذ التعديل",IF(AND(N14="نعم",R14&lt;&gt;"موافق"),"بانتظار رأي المختص",IF(S14&lt;&gt;"معتمد","لم يُعتمد","قابل للنشر"))))))))))</f>
        <v/>
      </c>
    </row>
    <row r="15" ht="120" customHeight="1">
      <c r="A15" s="8" t="inlineStr">
        <is>
          <t>ق-12</t>
        </is>
      </c>
      <c r="B15" s="5" t="inlineStr">
        <is>
          <t>ح3</t>
        </is>
      </c>
      <c r="C15" s="5" t="inlineStr">
        <is>
          <t>أساسي</t>
        </is>
      </c>
      <c r="D15" s="6" t="inlineStr">
        <is>
          <t>م-01</t>
        </is>
      </c>
      <c r="E15" s="6" t="inlineStr">
        <is>
          <t>المسألة (42)، ص200–ص201 — مختصر الإجابة</t>
        </is>
      </c>
      <c r="F15" s="5" t="inlineStr">
        <is>
          <t>ادعاء أن القرآن لم يدون كله ولم يجمع في عهد النبي ﷺ.</t>
        </is>
      </c>
      <c r="G15" s="5" t="inlineStr">
        <is>
          <t>لم يجمع القرآن كتابة في عهد النبي، وقد وقع التحريف والتبديل حين جمعه الصحابة؛ والدليل اختلافهم في بعض الآيات.</t>
        </is>
      </c>
      <c r="H15" s="5" t="inlineStr">
        <is>
          <t>جمع القرآن. | تدوين القرآن الكريم.</t>
        </is>
      </c>
      <c r="I15" s="5" t="inlineStr">
        <is>
          <t>عن تدوين القرآن وجمعه، هل تم كل ذلك في عهد النبي ﷺ، فإذا لم يحصل، كان هذا دليلا على إمكانية وقوع التحريف فيه.</t>
        </is>
      </c>
      <c r="J15"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15" s="6" t="inlineStr">
        <is>
          <t>يبين أن القرآن كُتب ثلاث مرات: في حياة النبي ﷺ في صحف متفرقة، ثم في عهد أبي بكر، ثم جُمع في مصحف واحد في عهد عثمان رضي الله عنهما.</t>
        </is>
      </c>
      <c r="L15" s="6" t="inlineStr">
        <is>
          <t>كيف جُمع القرآن؟ | لماذا لم يُجمع القرآن في كتاب واحد زمن النبي؟ | متى كُتب القرآن؟</t>
        </is>
      </c>
      <c r="M15" s="6" t="inlineStr">
        <is>
          <t>أ</t>
        </is>
      </c>
      <c r="N15" s="6" t="inlineStr">
        <is>
          <t>لا</t>
        </is>
      </c>
      <c r="O15" s="6" t="inlineStr">
        <is>
          <t>—</t>
        </is>
      </c>
      <c r="P15" s="6" t="inlineStr">
        <is>
          <t>نعم</t>
        </is>
      </c>
      <c r="Q15" s="6" t="inlineStr">
        <is>
          <t>محمد — 2026-10-04</t>
        </is>
      </c>
      <c r="R15" s="6" t="inlineStr"/>
      <c r="S15" s="6" t="inlineStr">
        <is>
          <t>معتمد</t>
        </is>
      </c>
      <c r="T15" s="6" t="inlineStr">
        <is>
          <t>«رضي الله عنه» مكتوبة في المطبوع رمزا بعد أبي بكر وعثمان؛ كتبتها نصا. عبارة «بشهادة الكثير من أهل الغرب» قد تحتاج قرارك.</t>
        </is>
      </c>
      <c r="U15" s="9">
        <f>IF(A15="","",IF(J15="","لم يُستخرج بعد",IF(OR(M15="ج",M15="د"),"المستوى لا يُنشر",IF(OR(IFERROR(INDEX(المصادر!$E$2:$E$20,MATCH(D15,المصادر!$A$2:$A$20,0)),"")&lt;&gt;"معروضة",IFERROR(INDEX(المصادر!$F$2:$F$20,MATCH(D15,المصادر!$A$2:$A$20,0)),"")&lt;&gt;"نعم"),"المصدر غير معتمد",IF(OR(B15="",E15="",K15="",M15="",N15=""),"بيانات ناقصة",IF(P15&lt;&gt;"نعم","لم يجتز الفحوص",IF(Q15="","المراجعة غير موثقة",IF(AND(N15="نعم",R15="موافق بتعديل"),"بانتظار تنفيذ التعديل",IF(AND(N15="نعم",R15&lt;&gt;"موافق"),"بانتظار رأي المختص",IF(S15&lt;&gt;"معتمد","لم يُعتمد","قابل للنشر"))))))))))</f>
        <v/>
      </c>
    </row>
    <row r="16" ht="160" customHeight="1">
      <c r="A16" s="8" t="inlineStr">
        <is>
          <t>ق-33</t>
        </is>
      </c>
      <c r="B16" s="5" t="inlineStr">
        <is>
          <t>ح3</t>
        </is>
      </c>
      <c r="C16" s="5" t="inlineStr">
        <is>
          <t>أساسي</t>
        </is>
      </c>
      <c r="D16" s="6" t="inlineStr">
        <is>
          <t>م-02</t>
        </is>
      </c>
      <c r="E16" s="6" t="inlineStr">
        <is>
          <t>المطلب الثاني: حفظ القرآن في عهد الصحابة، كلام ابن عثيمين في مراحل الجمع (مع قصّ) — https://dorar.net/aqeeda/1413</t>
        </is>
      </c>
      <c r="F16" s="5" t="n"/>
      <c r="G16" s="5" t="n"/>
      <c r="H16" s="5" t="n"/>
      <c r="I16" s="5" t="inlineStr">
        <is>
          <t>—</t>
        </is>
      </c>
      <c r="J16"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16" s="6" t="inlineStr">
        <is>
          <t>مراحل جمع القرآن الثلاث: في عهد النبي ﷺ حفظاً وكتابة متفرقة، ثم في عهد أبي بكر، ثم في عهد عثمان رضي الله عنهما، وبقاؤه متواتراً إلى اليوم.</t>
        </is>
      </c>
      <c r="L16" s="6" t="inlineStr">
        <is>
          <t>كيف جُمع القرآن؟ | متى صار القرآن كتاباً واحداً؟ | لماذا جمع أبو بكر القرآن؟ | لماذا جمع عثمان القرآن؟ | هل تغيّر القرآن منذ زمن الصحابة؟</t>
        </is>
      </c>
      <c r="M16" s="6" t="inlineStr">
        <is>
          <t>ب</t>
        </is>
      </c>
      <c r="N16" s="6" t="inlineStr">
        <is>
          <t>لا</t>
        </is>
      </c>
      <c r="O16" s="6" t="inlineStr">
        <is>
          <t>قول علي رضي الله عنه في فضل أبي بكر (أثر منقول في كلام ابن عثيمين)</t>
        </is>
      </c>
      <c r="P16" s="6" t="n"/>
      <c r="Q16" s="6" t="n"/>
      <c r="R16" s="6" t="n"/>
      <c r="S16" s="6" t="inlineStr">
        <is>
          <t>جاهز للمراجعة</t>
        </is>
      </c>
      <c r="T16"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U16" s="9">
        <f>IF(A16="","",IF(J16="","لم يُستخرج بعد",IF(OR(M16="ج",M16="د"),"المستوى لا يُنشر",IF(OR(IFERROR(INDEX(المصادر!$E$2:$E$20,MATCH(D16,المصادر!$A$2:$A$20,0)),"")&lt;&gt;"معروضة",IFERROR(INDEX(المصادر!$F$2:$F$20,MATCH(D16,المصادر!$A$2:$A$20,0)),"")&lt;&gt;"نعم"),"المصدر غير معتمد",IF(OR(B16="",E16="",K16="",M16="",N16=""),"بيانات ناقصة",IF(P16&lt;&gt;"نعم","لم يجتز الفحوص",IF(Q16="","المراجعة غير موثقة",IF(AND(N16="نعم",R16="موافق بتعديل"),"بانتظار تنفيذ التعديل",IF(AND(N16="نعم",R16&lt;&gt;"موافق"),"بانتظار رأي المختص",IF(S16&lt;&gt;"معتمد","لم يُعتمد","قابل للنشر"))))))))))</f>
        <v/>
      </c>
      <c r="V16" s="12" t="n"/>
    </row>
    <row r="17" ht="120" customHeight="1">
      <c r="A17" s="8" t="inlineStr">
        <is>
          <t>ق-13</t>
        </is>
      </c>
      <c r="B17" s="5" t="inlineStr">
        <is>
          <t>ح3</t>
        </is>
      </c>
      <c r="C17" s="5" t="inlineStr">
        <is>
          <t>إضافي</t>
        </is>
      </c>
      <c r="D17" s="6" t="inlineStr">
        <is>
          <t>م-01</t>
        </is>
      </c>
      <c r="E17" s="6" t="inlineStr">
        <is>
          <t>المسألة (48)، ص225–ص226 — مختصر الإجابة</t>
        </is>
      </c>
      <c r="F17" s="5" t="inlineStr">
        <is>
          <t>هل ضاع شيء من القرآن الذي سمعه الصحابة من النبي ﷺ؛ بسبب جمع عثمان للقرآن؟</t>
        </is>
      </c>
      <c r="G17" s="5" t="inlineStr">
        <is>
          <t>هل ضاع شيء من القرآن الذي سمعه الصحابة من النبي ﷺ؛ بسبب جمع عثمان للقرآن؟</t>
        </is>
      </c>
      <c r="H17" s="5" t="inlineStr">
        <is>
          <t>ألم يكن في إلزام عثمان للصحابة بمصحف واحد، وترك ما بأيديهم، ترك لما سمعوه من النبي على أنه قرآن؟</t>
        </is>
      </c>
      <c r="I17" s="5" t="inlineStr">
        <is>
          <t>—</t>
        </is>
      </c>
      <c r="J1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17" s="6" t="inlineStr">
        <is>
          <t>يوضح أن جمع عثمان رضي الله عنه للناس على مصحف واحد كان باتفاق الصحابة لمنع الاختلاف، ويذكر ضوابط ذلك الجمع.</t>
        </is>
      </c>
      <c r="L17" s="6" t="inlineStr">
        <is>
          <t>لماذا جمع عثمان القرآن؟ | هل ضاع شيء من القرآن بجمع عثمان؟ | ما الفرق بين جمع أبي بكر وجمع عثمان؟</t>
        </is>
      </c>
      <c r="M17" s="6" t="inlineStr">
        <is>
          <t>ب</t>
        </is>
      </c>
      <c r="N17" s="6" t="inlineStr">
        <is>
          <t>نعم</t>
        </is>
      </c>
      <c r="O17" s="6" t="inlineStr">
        <is>
          <t>—</t>
        </is>
      </c>
      <c r="P17" s="6" t="inlineStr">
        <is>
          <t>نعم</t>
        </is>
      </c>
      <c r="Q17" s="6" t="inlineStr">
        <is>
          <t>محمد — 2026-10-04</t>
        </is>
      </c>
      <c r="R17" s="6">
        <f>IF(للمختص!H8="","",للمختص!H8)</f>
        <v/>
      </c>
      <c r="S17" s="6" t="inlineStr">
        <is>
          <t>معتمد</t>
        </is>
      </c>
      <c r="T17" s="6" t="inlineStr">
        <is>
          <t>حساس: يذكر اختلاف القراءات والنسخ؛ مصطلحات تحتاج تبسيطا للمبتدئ. للمختص الأعلم.</t>
        </is>
      </c>
      <c r="U17" s="9">
        <f>IF(A17="","",IF(J17="","لم يُستخرج بعد",IF(OR(M17="ج",M17="د"),"المستوى لا يُنشر",IF(OR(IFERROR(INDEX(المصادر!$E$2:$E$20,MATCH(D17,المصادر!$A$2:$A$20,0)),"")&lt;&gt;"معروضة",IFERROR(INDEX(المصادر!$F$2:$F$20,MATCH(D17,المصادر!$A$2:$A$20,0)),"")&lt;&gt;"نعم"),"المصدر غير معتمد",IF(OR(B17="",E17="",K17="",M17="",N17=""),"بيانات ناقصة",IF(P17&lt;&gt;"نعم","لم يجتز الفحوص",IF(Q17="","المراجعة غير موثقة",IF(AND(N17="نعم",R17="موافق بتعديل"),"بانتظار تنفيذ التعديل",IF(AND(N17="نعم",R17&lt;&gt;"موافق"),"بانتظار رأي المختص",IF(S17&lt;&gt;"معتمد","لم يُعتمد","قابل للنشر"))))))))))</f>
        <v/>
      </c>
      <c r="V17"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row>
    <row r="18" ht="120" customHeight="1">
      <c r="A18" s="8" t="inlineStr">
        <is>
          <t>ق-14</t>
        </is>
      </c>
      <c r="B18" s="5" t="inlineStr">
        <is>
          <t>ح3</t>
        </is>
      </c>
      <c r="C18" s="5" t="inlineStr">
        <is>
          <t>إضافي</t>
        </is>
      </c>
      <c r="D18" s="6" t="inlineStr">
        <is>
          <t>م-01</t>
        </is>
      </c>
      <c r="E18" s="6" t="inlineStr">
        <is>
          <t>المسألة (43)، ص204–ص205 — مختصر الإجابة</t>
        </is>
      </c>
      <c r="F18" s="5" t="inlineStr">
        <is>
          <t>ادعاء أن نقل الصحابة للقرآن نقل آحادي لا متواتر.</t>
        </is>
      </c>
      <c r="G18"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18" s="5" t="inlineStr">
        <is>
          <t>هل ثبت أن القرآن متواتر؟ | كم عدد الصحابة الذين نقلوا القرآن؟</t>
        </is>
      </c>
      <c r="I18" s="5" t="inlineStr">
        <is>
          <t>يدور السؤال حول نقل الصحابة للقرآن الكريم، وهل تحقق وفق شروط التواتر؛ لوجود مرويات حددت أعدادا محدودة من الصحابة يؤخذ عنهم القرآن؟</t>
        </is>
      </c>
      <c r="J1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18" s="6" t="inlineStr">
        <is>
          <t>يبين أن حفظة القرآن من الصحابة كانوا كثيرين، وأن الروايات التي تذكر عددا قليلا لا يُقصد بها الحصر.</t>
        </is>
      </c>
      <c r="L18" s="6" t="inlineStr">
        <is>
          <t>كم عدد الصحابة الذين حفظوا القرآن؟ | هل نُقل القرآن عن عدد قليل؟ | كيف وصل القرآن إلينا؟</t>
        </is>
      </c>
      <c r="M18" s="6" t="inlineStr">
        <is>
          <t>ب</t>
        </is>
      </c>
      <c r="N18" s="6" t="inlineStr">
        <is>
          <t>نعم</t>
        </is>
      </c>
      <c r="O18" s="6" t="inlineStr">
        <is>
          <t>يشير إلى روايات الحصر (حديث أنس في الصحيحين، مذكور في السؤال لا في المقطع); حديث أنس في السؤال المصدري</t>
        </is>
      </c>
      <c r="P18" s="6" t="inlineStr">
        <is>
          <t>نعم</t>
        </is>
      </c>
      <c r="Q18" s="6" t="inlineStr">
        <is>
          <t>محمد — 2026-10-04</t>
        </is>
      </c>
      <c r="R18" s="6">
        <f>IF(للمختص!H9="","",للمختص!H9)</f>
        <v/>
      </c>
      <c r="S18" s="6" t="inlineStr">
        <is>
          <t>معتمد</t>
        </is>
      </c>
      <c r="T18" s="6" t="inlineStr">
        <is>
          <t>يرد على اعتراض محدد؛ لا يشرح التلقي المتصل للمبتدئ. يذكر «الأحرف المختلفة» (خارج النطاق). قد يُبقى بديلا ويُطلب مقطع أساسي من م-03.</t>
        </is>
      </c>
      <c r="U18" s="9">
        <f>IF(A18="","",IF(J18="","لم يُستخرج بعد",IF(OR(M18="ج",M18="د"),"المستوى لا يُنشر",IF(OR(IFERROR(INDEX(المصادر!$E$2:$E$20,MATCH(D18,المصادر!$A$2:$A$20,0)),"")&lt;&gt;"معروضة",IFERROR(INDEX(المصادر!$F$2:$F$20,MATCH(D18,المصادر!$A$2:$A$20,0)),"")&lt;&gt;"نعم"),"المصدر غير معتمد",IF(OR(B18="",E18="",K18="",M18="",N18=""),"بيانات ناقصة",IF(P18&lt;&gt;"نعم","لم يجتز الفحوص",IF(Q18="","المراجعة غير موثقة",IF(AND(N18="نعم",R18="موافق بتعديل"),"بانتظار تنفيذ التعديل",IF(AND(N18="نعم",R18&lt;&gt;"موافق"),"بانتظار رأي المختص",IF(S18&lt;&gt;"معتمد","لم يُعتمد","قابل للنشر"))))))))))</f>
        <v/>
      </c>
      <c r="V18"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row>
    <row r="19" ht="30" customHeight="1">
      <c r="A19" s="8" t="inlineStr">
        <is>
          <t>ق-15</t>
        </is>
      </c>
      <c r="B19" s="5" t="inlineStr">
        <is>
          <t>ح4</t>
        </is>
      </c>
      <c r="C19" s="5" t="inlineStr">
        <is>
          <t>أساسي</t>
        </is>
      </c>
      <c r="D19" s="6" t="inlineStr">
        <is>
          <t>م-03</t>
        </is>
      </c>
      <c r="E19" s="6" t="inlineStr"/>
      <c r="F19" s="5" t="inlineStr"/>
      <c r="G19" s="5" t="inlineStr"/>
      <c r="H19" s="5" t="inlineStr"/>
      <c r="I19" s="5" t="inlineStr"/>
      <c r="J19" s="6" t="inlineStr"/>
      <c r="K19" s="6" t="inlineStr">
        <is>
          <t>السورة والآية، وعدد سور القرآن</t>
        </is>
      </c>
      <c r="L19" s="6" t="inlineStr"/>
      <c r="M19" s="6" t="inlineStr"/>
      <c r="N19" s="6" t="inlineStr"/>
      <c r="O19" s="6" t="inlineStr"/>
      <c r="P19" s="6" t="inlineStr"/>
      <c r="Q19" s="6" t="inlineStr"/>
      <c r="R19" s="6" t="inlineStr"/>
      <c r="S19" s="6" t="inlineStr">
        <is>
          <t>لم يُستخرج</t>
        </is>
      </c>
      <c r="T19" s="6" t="inlineStr"/>
      <c r="U19" s="9">
        <f>IF(A19="","",IF(J19="","لم يُستخرج بعد",IF(OR(M19="ج",M19="د"),"المستوى لا يُنشر",IF(OR(IFERROR(INDEX(المصادر!$E$2:$E$20,MATCH(D19,المصادر!$A$2:$A$20,0)),"")&lt;&gt;"معروضة",IFERROR(INDEX(المصادر!$F$2:$F$20,MATCH(D19,المصادر!$A$2:$A$20,0)),"")&lt;&gt;"نعم"),"المصدر غير معتمد",IF(OR(B19="",E19="",K19="",M19="",N19=""),"بيانات ناقصة",IF(P19&lt;&gt;"نعم","لم يجتز الفحوص",IF(Q19="","المراجعة غير موثقة",IF(AND(N19="نعم",R19="موافق بتعديل"),"بانتظار تنفيذ التعديل",IF(AND(N19="نعم",R19&lt;&gt;"موافق"),"بانتظار رأي المختص",IF(S19&lt;&gt;"معتمد","لم يُعتمد","قابل للنشر"))))))))))</f>
        <v/>
      </c>
    </row>
    <row r="20" ht="30" customHeight="1">
      <c r="A20" s="8" t="inlineStr">
        <is>
          <t>ق-16</t>
        </is>
      </c>
      <c r="B20" s="5" t="inlineStr">
        <is>
          <t>ح4</t>
        </is>
      </c>
      <c r="C20" s="5" t="inlineStr">
        <is>
          <t>أساسي</t>
        </is>
      </c>
      <c r="D20" s="6" t="inlineStr">
        <is>
          <t>م-03</t>
        </is>
      </c>
      <c r="E20" s="6" t="inlineStr"/>
      <c r="F20" s="5" t="inlineStr"/>
      <c r="G20" s="5" t="inlineStr"/>
      <c r="H20" s="5" t="inlineStr"/>
      <c r="I20" s="5" t="inlineStr"/>
      <c r="J20" s="6" t="inlineStr"/>
      <c r="K20" s="6" t="inlineStr">
        <is>
          <t>كيف أصل إلى سورة وآية في المصحف</t>
        </is>
      </c>
      <c r="L20" s="6" t="inlineStr"/>
      <c r="M20" s="6" t="inlineStr"/>
      <c r="N20" s="6" t="inlineStr"/>
      <c r="O20" s="6" t="inlineStr"/>
      <c r="P20" s="6" t="inlineStr"/>
      <c r="Q20" s="6" t="inlineStr"/>
      <c r="R20" s="6" t="inlineStr"/>
      <c r="S20" s="6" t="inlineStr">
        <is>
          <t>لم يُستخرج</t>
        </is>
      </c>
      <c r="T20" s="6" t="inlineStr"/>
      <c r="U20" s="9">
        <f>IF(A20="","",IF(J20="","لم يُستخرج بعد",IF(OR(M20="ج",M20="د"),"المستوى لا يُنشر",IF(OR(IFERROR(INDEX(المصادر!$E$2:$E$20,MATCH(D20,المصادر!$A$2:$A$20,0)),"")&lt;&gt;"معروضة",IFERROR(INDEX(المصادر!$F$2:$F$20,MATCH(D20,المصادر!$A$2:$A$20,0)),"")&lt;&gt;"نعم"),"المصدر غير معتمد",IF(OR(B20="",E20="",K20="",M20="",N20=""),"بيانات ناقصة",IF(P20&lt;&gt;"نعم","لم يجتز الفحوص",IF(Q20="","المراجعة غير موثقة",IF(AND(N20="نعم",R20="موافق بتعديل"),"بانتظار تنفيذ التعديل",IF(AND(N20="نعم",R20&lt;&gt;"موافق"),"بانتظار رأي المختص",IF(S20&lt;&gt;"معتمد","لم يُعتمد","قابل للنشر"))))))))))</f>
        <v/>
      </c>
    </row>
    <row r="21" ht="120" customHeight="1">
      <c r="A21" s="8" t="inlineStr">
        <is>
          <t>ق-17</t>
        </is>
      </c>
      <c r="B21" s="5" t="inlineStr">
        <is>
          <t>ح4</t>
        </is>
      </c>
      <c r="C21" s="5" t="inlineStr">
        <is>
          <t>أساسي</t>
        </is>
      </c>
      <c r="D21" s="6" t="inlineStr">
        <is>
          <t>م-01</t>
        </is>
      </c>
      <c r="E21" s="6" t="inlineStr">
        <is>
          <t>المسألة (54)، ص249–ص250 — مختصر الإجابة</t>
        </is>
      </c>
      <c r="F21" s="5" t="inlineStr">
        <is>
          <t>ادعاء أن ترتيب آيات القرآن من فعل الصحابة.</t>
        </is>
      </c>
      <c r="G21" s="5" t="inlineStr">
        <is>
          <t>ما دام الصحابة قد رتبوا آيات القرآن؛ فهذا دليل على تحريفهم لآيات القرآن؛ كما يمكن بسبب ذلك وقوع الأخطاء فيه، والإدخال عليه.</t>
        </is>
      </c>
      <c r="H21" s="5" t="inlineStr">
        <is>
          <t>ترتيب آيات القرآن. | ترتيب الصحابة للمصحف.</t>
        </is>
      </c>
      <c r="I21" s="5"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1"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1" s="6" t="inlineStr">
        <is>
          <t>يبين أن ترتيب الآيات داخل كل سورة من الوحي، ويذكر خلاف العلماء في ترتيب السور وأن الجمهور على أنه توقيفي.</t>
        </is>
      </c>
      <c r="L21" s="6" t="inlineStr">
        <is>
          <t>من رتّب سور القرآن؟ | لماذا ترتيب المصحف ليس بحسب النزول؟ | هل ترتيب الآيات من الصحابة؟</t>
        </is>
      </c>
      <c r="M21" s="6" t="inlineStr">
        <is>
          <t>ب</t>
        </is>
      </c>
      <c r="N21" s="6" t="inlineStr">
        <is>
          <t>نعم</t>
        </is>
      </c>
      <c r="O21" s="6" t="inlineStr">
        <is>
          <t>يشير إلى مدارسة جبريل للنبي ﷺ القرآن كل عام (البخاري) دون نصه</t>
        </is>
      </c>
      <c r="P21" s="6" t="inlineStr">
        <is>
          <t>نعم</t>
        </is>
      </c>
      <c r="Q21" s="6" t="inlineStr">
        <is>
          <t>محمد — 2026-10-04</t>
        </is>
      </c>
      <c r="R21" s="6">
        <f>IF(للمختص!H5="","",للمختص!H5)</f>
        <v/>
      </c>
      <c r="S21" s="6" t="inlineStr">
        <is>
          <t>معتمد</t>
        </is>
      </c>
      <c r="T21" s="6" t="inlineStr">
        <is>
          <t>يعرض خلافا ويرجح قول الجمهور: تحقق من فحص 7. حساس.</t>
        </is>
      </c>
      <c r="U21" s="9">
        <f>IF(A21="","",IF(J21="","لم يُستخرج بعد",IF(OR(M21="ج",M21="د"),"المستوى لا يُنشر",IF(OR(IFERROR(INDEX(المصادر!$E$2:$E$20,MATCH(D21,المصادر!$A$2:$A$20,0)),"")&lt;&gt;"معروضة",IFERROR(INDEX(المصادر!$F$2:$F$20,MATCH(D21,المصادر!$A$2:$A$20,0)),"")&lt;&gt;"نعم"),"المصدر غير معتمد",IF(OR(B21="",E21="",K21="",M21="",N21=""),"بيانات ناقصة",IF(P21&lt;&gt;"نعم","لم يجتز الفحوص",IF(Q21="","المراجعة غير موثقة",IF(AND(N21="نعم",R21="موافق بتعديل"),"بانتظار تنفيذ التعديل",IF(AND(N21="نعم",R21&lt;&gt;"موافق"),"بانتظار رأي المختص",IF(S21&lt;&gt;"معتمد","لم يُعتمد","قابل للنشر"))))))))))</f>
        <v/>
      </c>
      <c r="V21"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row>
    <row r="22" ht="120" customHeight="1">
      <c r="A22" s="8" t="inlineStr">
        <is>
          <t>ق-28</t>
        </is>
      </c>
      <c r="B22" s="5" t="inlineStr">
        <is>
          <t>ح4</t>
        </is>
      </c>
      <c r="C22" s="5" t="inlineStr">
        <is>
          <t>إضافي</t>
        </is>
      </c>
      <c r="D22" s="6" t="inlineStr">
        <is>
          <t>م-01</t>
        </is>
      </c>
      <c r="E22" s="6" t="inlineStr">
        <is>
          <t>المسألة (53)، ص246–ص246 — مختصر الإجابة</t>
        </is>
      </c>
      <c r="F22" s="5" t="inlineStr">
        <is>
          <t>ادعاء أن آيات القرآن وسوره غير مرتبة.</t>
        </is>
      </c>
      <c r="G22" s="5"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2" s="5" t="inlineStr">
        <is>
          <t>لماذا ترتيب القرآن وتنظيمه وترتيب مواضيعه، ليس مثل الكتب المرتبة موضوعيا أو زمنيا؟</t>
        </is>
      </c>
      <c r="I22" s="5" t="inlineStr">
        <is>
          <t>—</t>
        </is>
      </c>
      <c r="J22"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2" s="6" t="inlineStr">
        <is>
          <t>يبين أن ترتيب القرآن غير الموضوعي له حكمة، وأن مزج الموضوعات في السورة الواحدة من كماله لا نقصه.</t>
        </is>
      </c>
      <c r="L22" s="6" t="inlineStr">
        <is>
          <t>لماذا لا يُقسَّم القرآن إلى فصول؟ | لماذا تتنقل السورة بين موضوعات مختلفة؟</t>
        </is>
      </c>
      <c r="M22" s="6" t="inlineStr">
        <is>
          <t>ب</t>
        </is>
      </c>
      <c r="N22" s="6" t="inlineStr">
        <is>
          <t>لا</t>
        </is>
      </c>
      <c r="O22" s="6" t="inlineStr">
        <is>
          <t>—</t>
        </is>
      </c>
      <c r="P22" s="6" t="inlineStr">
        <is>
          <t>نعم</t>
        </is>
      </c>
      <c r="Q22" s="6" t="inlineStr">
        <is>
          <t>محمد — 2026-10-04</t>
        </is>
      </c>
      <c r="R22" s="6" t="inlineStr"/>
      <c r="S22" s="6" t="inlineStr">
        <is>
          <t>معتمد</t>
        </is>
      </c>
      <c r="T22" s="6" t="inlineStr">
        <is>
          <t>الجملة الأخيرة «وقد ظنه السائل...» تخاطب سائل الشبهة؛ قد تحذفها (حذف آخر الجملة يُسجَّل).</t>
        </is>
      </c>
      <c r="U22" s="9">
        <f>IF(A22="","",IF(J22="","لم يُستخرج بعد",IF(OR(M22="ج",M22="د"),"المستوى لا يُنشر",IF(OR(IFERROR(INDEX(المصادر!$E$2:$E$20,MATCH(D22,المصادر!$A$2:$A$20,0)),"")&lt;&gt;"معروضة",IFERROR(INDEX(المصادر!$F$2:$F$20,MATCH(D22,المصادر!$A$2:$A$20,0)),"")&lt;&gt;"نعم"),"المصدر غير معتمد",IF(OR(B22="",E22="",K22="",M22="",N22=""),"بيانات ناقصة",IF(P22&lt;&gt;"نعم","لم يجتز الفحوص",IF(Q22="","المراجعة غير موثقة",IF(AND(N22="نعم",R22="موافق بتعديل"),"بانتظار تنفيذ التعديل",IF(AND(N22="نعم",R22&lt;&gt;"موافق"),"بانتظار رأي المختص",IF(S22&lt;&gt;"معتمد","لم يُعتمد","قابل للنشر"))))))))))</f>
        <v/>
      </c>
    </row>
    <row r="23" ht="30" customHeight="1">
      <c r="A23" s="8" t="inlineStr">
        <is>
          <t>ق-18</t>
        </is>
      </c>
      <c r="B23" s="5" t="inlineStr">
        <is>
          <t>ح6</t>
        </is>
      </c>
      <c r="C23" s="5" t="inlineStr">
        <is>
          <t>أساسي</t>
        </is>
      </c>
      <c r="D23" s="6" t="inlineStr">
        <is>
          <t>م-04</t>
        </is>
      </c>
      <c r="E23" s="6" t="inlineStr"/>
      <c r="F23" s="5" t="inlineStr"/>
      <c r="G23" s="5" t="inlineStr"/>
      <c r="H23" s="5" t="inlineStr"/>
      <c r="I23" s="5" t="inlineStr"/>
      <c r="J23" s="6" t="inlineStr"/>
      <c r="K23" s="6" t="inlineStr">
        <is>
          <t>من أين يبدأ المبتدئ القراءة</t>
        </is>
      </c>
      <c r="L23" s="6" t="inlineStr"/>
      <c r="M23" s="6" t="inlineStr"/>
      <c r="N23" s="6" t="inlineStr"/>
      <c r="O23" s="6" t="inlineStr"/>
      <c r="P23" s="6" t="inlineStr"/>
      <c r="Q23" s="6" t="inlineStr"/>
      <c r="R23" s="6" t="inlineStr"/>
      <c r="S23" s="6" t="inlineStr">
        <is>
          <t>لم يُستخرج</t>
        </is>
      </c>
      <c r="T23" s="6" t="inlineStr"/>
      <c r="U23" s="9">
        <f>IF(A23="","",IF(J23="","لم يُستخرج بعد",IF(OR(M23="ج",M23="د"),"المستوى لا يُنشر",IF(OR(IFERROR(INDEX(المصادر!$E$2:$E$20,MATCH(D23,المصادر!$A$2:$A$20,0)),"")&lt;&gt;"معروضة",IFERROR(INDEX(المصادر!$F$2:$F$20,MATCH(D23,المصادر!$A$2:$A$20,0)),"")&lt;&gt;"نعم"),"المصدر غير معتمد",IF(OR(B23="",E23="",K23="",M23="",N23=""),"بيانات ناقصة",IF(P23&lt;&gt;"نعم","لم يجتز الفحوص",IF(Q23="","المراجعة غير موثقة",IF(AND(N23="نعم",R23="موافق بتعديل"),"بانتظار تنفيذ التعديل",IF(AND(N23="نعم",R23&lt;&gt;"موافق"),"بانتظار رأي المختص",IF(S23&lt;&gt;"معتمد","لم يُعتمد","قابل للنشر"))))))))))</f>
        <v/>
      </c>
    </row>
    <row r="24" ht="30" customHeight="1">
      <c r="A24" s="8" t="inlineStr">
        <is>
          <t>ق-19</t>
        </is>
      </c>
      <c r="B24" s="5" t="inlineStr">
        <is>
          <t>ح6</t>
        </is>
      </c>
      <c r="C24" s="5" t="inlineStr">
        <is>
          <t>أساسي</t>
        </is>
      </c>
      <c r="D24" s="6" t="inlineStr">
        <is>
          <t>م-04</t>
        </is>
      </c>
      <c r="E24" s="6" t="inlineStr"/>
      <c r="F24" s="5" t="inlineStr"/>
      <c r="G24" s="5" t="inlineStr"/>
      <c r="H24" s="5" t="inlineStr"/>
      <c r="I24" s="5" t="inlineStr"/>
      <c r="J24" s="6" t="inlineStr"/>
      <c r="K24" s="6" t="inlineStr">
        <is>
          <t>فهم المعنى بتفسير مختصر موثوق</t>
        </is>
      </c>
      <c r="L24" s="6" t="inlineStr"/>
      <c r="M24" s="6" t="inlineStr"/>
      <c r="N24" s="6" t="inlineStr"/>
      <c r="O24" s="6" t="inlineStr"/>
      <c r="P24" s="6" t="inlineStr"/>
      <c r="Q24" s="6" t="inlineStr"/>
      <c r="R24" s="6" t="inlineStr"/>
      <c r="S24" s="6" t="inlineStr">
        <is>
          <t>لم يُستخرج</t>
        </is>
      </c>
      <c r="T24" s="6" t="inlineStr"/>
      <c r="U24" s="9">
        <f>IF(A24="","",IF(J24="","لم يُستخرج بعد",IF(OR(M24="ج",M24="د"),"المستوى لا يُنشر",IF(OR(IFERROR(INDEX(المصادر!$E$2:$E$20,MATCH(D24,المصادر!$A$2:$A$20,0)),"")&lt;&gt;"معروضة",IFERROR(INDEX(المصادر!$F$2:$F$20,MATCH(D24,المصادر!$A$2:$A$20,0)),"")&lt;&gt;"نعم"),"المصدر غير معتمد",IF(OR(B24="",E24="",K24="",M24="",N24=""),"بيانات ناقصة",IF(P24&lt;&gt;"نعم","لم يجتز الفحوص",IF(Q24="","المراجعة غير موثقة",IF(AND(N24="نعم",R24="موافق بتعديل"),"بانتظار تنفيذ التعديل",IF(AND(N24="نعم",R24&lt;&gt;"موافق"),"بانتظار رأي المختص",IF(S24&lt;&gt;"معتمد","لم يُعتمد","قابل للنشر"))))))))))</f>
        <v/>
      </c>
    </row>
    <row r="25" ht="30" customHeight="1">
      <c r="A25" s="8" t="inlineStr">
        <is>
          <t>ق-20</t>
        </is>
      </c>
      <c r="B25" s="5" t="inlineStr">
        <is>
          <t>ح6</t>
        </is>
      </c>
      <c r="C25" s="5" t="inlineStr">
        <is>
          <t>أساسي</t>
        </is>
      </c>
      <c r="D25" s="6" t="inlineStr">
        <is>
          <t>م-04</t>
        </is>
      </c>
      <c r="E25" s="6" t="inlineStr"/>
      <c r="F25" s="5" t="inlineStr"/>
      <c r="G25" s="5" t="inlineStr"/>
      <c r="H25" s="5" t="inlineStr"/>
      <c r="I25" s="5" t="inlineStr"/>
      <c r="J25" s="6" t="inlineStr"/>
      <c r="K25" s="6" t="inlineStr">
        <is>
          <t>الفرق بين نص القرآن وتفسيره وترجمة معانيه</t>
        </is>
      </c>
      <c r="L25" s="6" t="inlineStr"/>
      <c r="M25" s="6" t="inlineStr"/>
      <c r="N25" s="6" t="inlineStr"/>
      <c r="O25" s="6" t="inlineStr"/>
      <c r="P25" s="6" t="inlineStr"/>
      <c r="Q25" s="6" t="inlineStr"/>
      <c r="R25" s="6" t="inlineStr"/>
      <c r="S25" s="6" t="inlineStr">
        <is>
          <t>لم يُستخرج</t>
        </is>
      </c>
      <c r="T25" s="6" t="inlineStr"/>
      <c r="U25" s="9">
        <f>IF(A25="","",IF(J25="","لم يُستخرج بعد",IF(OR(M25="ج",M25="د"),"المستوى لا يُنشر",IF(OR(IFERROR(INDEX(المصادر!$E$2:$E$20,MATCH(D25,المصادر!$A$2:$A$20,0)),"")&lt;&gt;"معروضة",IFERROR(INDEX(المصادر!$F$2:$F$20,MATCH(D25,المصادر!$A$2:$A$20,0)),"")&lt;&gt;"نعم"),"المصدر غير معتمد",IF(OR(B25="",E25="",K25="",M25="",N25=""),"بيانات ناقصة",IF(P25&lt;&gt;"نعم","لم يجتز الفحوص",IF(Q25="","المراجعة غير موثقة",IF(AND(N25="نعم",R25="موافق بتعديل"),"بانتظار تنفيذ التعديل",IF(AND(N25="نعم",R25&lt;&gt;"موافق"),"بانتظار رأي المختص",IF(S25&lt;&gt;"معتمد","لم يُعتمد","قابل للنشر"))))))))))</f>
        <v/>
      </c>
    </row>
    <row r="26" ht="120" customHeight="1">
      <c r="A26" s="8" t="inlineStr">
        <is>
          <t>ق-31</t>
        </is>
      </c>
      <c r="B26" s="5" t="inlineStr">
        <is>
          <t>ح6</t>
        </is>
      </c>
      <c r="C26" s="5" t="inlineStr">
        <is>
          <t>إضافي</t>
        </is>
      </c>
      <c r="D26" s="6" t="inlineStr">
        <is>
          <t>م-01</t>
        </is>
      </c>
      <c r="E26" s="6" t="inlineStr">
        <is>
          <t>المسألة (94)، ص423–ص424 — مختصر الإجابة</t>
        </is>
      </c>
      <c r="F26" s="5" t="inlineStr">
        <is>
          <t>عدم موافقة ترجمة القرآن لجميع معانيه.</t>
        </is>
      </c>
      <c r="G26" s="5"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26" s="5" t="inlineStr">
        <is>
          <t>لماذا لا تطابق ترجمة القرآن جميع معانيه؟</t>
        </is>
      </c>
      <c r="I26" s="5" t="inlineStr">
        <is>
          <t>—</t>
        </is>
      </c>
      <c r="J26"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26" s="6" t="inlineStr">
        <is>
          <t>يبين أن ترجمة معاني القرآن نوع من التفسير بلغة أخرى، تنقل ما فهمه المترجم لا نص القرآن نفسه.</t>
        </is>
      </c>
      <c r="L26" s="6" t="inlineStr">
        <is>
          <t>هل الترجمة هي القرآن؟ | هل أستطيع فهم القرآن من ترجمة؟</t>
        </is>
      </c>
      <c r="M26" s="6" t="inlineStr">
        <is>
          <t>ب</t>
        </is>
      </c>
      <c r="N26" s="6" t="inlineStr">
        <is>
          <t>لا</t>
        </is>
      </c>
      <c r="O26" s="6" t="inlineStr">
        <is>
          <t>—</t>
        </is>
      </c>
      <c r="P26" s="6" t="inlineStr">
        <is>
          <t>نعم</t>
        </is>
      </c>
      <c r="Q26" s="6" t="inlineStr">
        <is>
          <t>محمد — 2026-10-04</t>
        </is>
      </c>
      <c r="R26" s="6" t="inlineStr"/>
      <c r="S26" s="6" t="inlineStr">
        <is>
          <t>معتمد</t>
        </is>
      </c>
      <c r="T26" s="6" t="inlineStr">
        <is>
          <t>فيه إحالة «هذه الدعوى في السؤال». فائدته محدودة لجمهور عربي.</t>
        </is>
      </c>
      <c r="U26" s="9">
        <f>IF(A26="","",IF(J26="","لم يُستخرج بعد",IF(OR(M26="ج",M26="د"),"المستوى لا يُنشر",IF(OR(IFERROR(INDEX(المصادر!$E$2:$E$20,MATCH(D26,المصادر!$A$2:$A$20,0)),"")&lt;&gt;"معروضة",IFERROR(INDEX(المصادر!$F$2:$F$20,MATCH(D26,المصادر!$A$2:$A$20,0)),"")&lt;&gt;"نعم"),"المصدر غير معتمد",IF(OR(B26="",E26="",K26="",M26="",N26=""),"بيانات ناقصة",IF(P26&lt;&gt;"نعم","لم يجتز الفحوص",IF(Q26="","المراجعة غير موثقة",IF(AND(N26="نعم",R26="موافق بتعديل"),"بانتظار تنفيذ التعديل",IF(AND(N26="نعم",R26&lt;&gt;"موافق"),"بانتظار رأي المختص",IF(S26&lt;&gt;"معتمد","لم يُعتمد","قابل للنشر"))))))))))</f>
        <v/>
      </c>
    </row>
    <row r="27" ht="120" customHeight="1">
      <c r="A27" s="8" t="inlineStr">
        <is>
          <t>ق-23</t>
        </is>
      </c>
      <c r="B27" s="5" t="inlineStr">
        <is>
          <t>ح7</t>
        </is>
      </c>
      <c r="C27" s="5" t="inlineStr">
        <is>
          <t>أساسي</t>
        </is>
      </c>
      <c r="D27" s="6" t="inlineStr">
        <is>
          <t>م-01</t>
        </is>
      </c>
      <c r="E27" s="6" t="inlineStr">
        <is>
          <t>المسألة (84)، ص377–ص378 — مختصر الإجابة</t>
        </is>
      </c>
      <c r="F27" s="5" t="inlineStr">
        <is>
          <t>تحدى القرآن البشر أن يأتوا بمثله، مع وجود كلام في غاية البلاغة للبشر.</t>
        </is>
      </c>
      <c r="G27" s="5" t="inlineStr">
        <is>
          <t>تحدى القرآن البشر أن يأتوا بمثله، وقد رأينا في كلام كثير من الناس والشعراء غاية البلاغة؛ أفلا يستطيع هؤلاء أن يأتوا بمثل القرآن؟</t>
        </is>
      </c>
      <c r="H27" s="5" t="inlineStr">
        <is>
          <t>إعجاز القرآن. | القول بالصرفة. | القرآن تحدى بلغاء العرب.</t>
        </is>
      </c>
      <c r="I27" s="5" t="inlineStr">
        <is>
          <t>صاحب هذا السؤال يرى أن القرآن قد تحدى البشر أن يأتوا بمثله، والبلغاء والشعراء لهم كلام غاية في البلاغة؛ فهم يستطيعون أن يأتوا بمثله.</t>
        </is>
      </c>
      <c r="J27"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27" s="6" t="inlineStr">
        <is>
          <t>يبين أن القرآن تحدى العرب أن يأتوا بمثله فعجزوا مع بلاغتهم وعداوتهم، وأن إعجازه يشمل لفظه ومعانيه وأخباره وتشريعه.</t>
        </is>
      </c>
      <c r="L27" s="6" t="inlineStr">
        <is>
          <t>ما معنى أن القرآن معجز؟ | هل يستطيع أحد أن يأتي بمثل القرآن؟ | ما هو تحدي القرآن؟</t>
        </is>
      </c>
      <c r="M27" s="6" t="inlineStr">
        <is>
          <t>ب</t>
        </is>
      </c>
      <c r="N27" s="6" t="inlineStr">
        <is>
          <t>نعم</t>
        </is>
      </c>
      <c r="O27" s="6" t="inlineStr">
        <is>
          <t>البقرة 24 (جزء)؛ فصلت 42 — نُسخت من المطبوع بالرسم الإملائي، ويجب استبدالها بنص مصحف مجمع الملك فهد</t>
        </is>
      </c>
      <c r="P27" s="6" t="inlineStr">
        <is>
          <t>نعم</t>
        </is>
      </c>
      <c r="Q27" s="6" t="inlineStr">
        <is>
          <t>محمد — 2026-10-04</t>
        </is>
      </c>
      <c r="R27" s="6">
        <f>IF(للمختص!H6="","",للمختص!H6)</f>
        <v/>
      </c>
      <c r="S27" s="6" t="inlineStr">
        <is>
          <t>معتمد</t>
        </is>
      </c>
      <c r="T27" s="6" t="inlineStr">
        <is>
          <t>طويل؛ يمكن الاكتفاء بالفقرتين 2 و3 (تبدأ الثانية بـ«أما القرآن» فتحتاج قرارك). حساس.</t>
        </is>
      </c>
      <c r="U27" s="9">
        <f>IF(A27="","",IF(J27="","لم يُستخرج بعد",IF(OR(M27="ج",M27="د"),"المستوى لا يُنشر",IF(OR(IFERROR(INDEX(المصادر!$E$2:$E$20,MATCH(D27,المصادر!$A$2:$A$20,0)),"")&lt;&gt;"معروضة",IFERROR(INDEX(المصادر!$F$2:$F$20,MATCH(D27,المصادر!$A$2:$A$20,0)),"")&lt;&gt;"نعم"),"المصدر غير معتمد",IF(OR(B27="",E27="",K27="",M27="",N27=""),"بيانات ناقصة",IF(P27&lt;&gt;"نعم","لم يجتز الفحوص",IF(Q27="","المراجعة غير موثقة",IF(AND(N27="نعم",R27="موافق بتعديل"),"بانتظار تنفيذ التعديل",IF(AND(N27="نعم",R27&lt;&gt;"موافق"),"بانتظار رأي المختص",IF(S27&lt;&gt;"معتمد","لم يُعتمد","قابل للنشر"))))))))))</f>
        <v/>
      </c>
      <c r="V27"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row>
    <row r="28" ht="120" customHeight="1">
      <c r="A28" s="8" t="inlineStr">
        <is>
          <t>ق-24</t>
        </is>
      </c>
      <c r="B28" s="5" t="inlineStr">
        <is>
          <t>ح7</t>
        </is>
      </c>
      <c r="C28" s="5" t="inlineStr">
        <is>
          <t>أساسي</t>
        </is>
      </c>
      <c r="D28" s="6" t="inlineStr">
        <is>
          <t>م-01</t>
        </is>
      </c>
      <c r="E28" s="6" t="inlineStr">
        <is>
          <t>المسألة (27)، ص135–ص135 — مختصر الإجابة</t>
        </is>
      </c>
      <c r="F28" s="5" t="inlineStr">
        <is>
          <t>ادعاء أن القرآن مصدره البشر.</t>
        </is>
      </c>
      <c r="G28" s="5" t="inlineStr">
        <is>
          <t>لماذا لا يكون القرآن من وضع البشر، أو يكون من تأليف النبي ﷺ نفسه، وقد جاءت آية في القرآن تنص على ذلك: ﴿إنه لقول رسول كريم﴾ [الحاقة: 40]؟</t>
        </is>
      </c>
      <c r="H28" s="5" t="inlineStr">
        <is>
          <t>مصدر القرآن الكريم. | القرآن كلام الله.</t>
        </is>
      </c>
      <c r="I28" s="5" t="inlineStr">
        <is>
          <t>حول مصدر القرآن، وادعاء بعض المشككين: أنه يمكن أن يكون مصدر القرآن بشرا.</t>
        </is>
      </c>
      <c r="J28"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28" s="6" t="inlineStr">
        <is>
          <t>يذكر أربعة أدلة مختصرة على أن القرآن ليس من تأليف بشر، منها ورود عتاب للنبي ﷺ في بعض الآيات.</t>
        </is>
      </c>
      <c r="L28" s="6" t="inlineStr">
        <is>
          <t>هل ألّف النبي القرآن؟ | لماذا لا يكون القرآن من كلام محمد؟ | كيف نعرف أن القرآن ليس من البشر؟</t>
        </is>
      </c>
      <c r="M28" s="6" t="inlineStr">
        <is>
          <t>ب</t>
        </is>
      </c>
      <c r="N28" s="6" t="inlineStr">
        <is>
          <t>نعم</t>
        </is>
      </c>
      <c r="O28" s="6" t="inlineStr">
        <is>
          <t>لا يوجد في المقطع (آية الحاقة 40 في نص السؤال فقط); آية في السؤال المصدري</t>
        </is>
      </c>
      <c r="P28" s="6" t="inlineStr">
        <is>
          <t>نعم</t>
        </is>
      </c>
      <c r="Q28" s="6" t="inlineStr">
        <is>
          <t>محمد — 2026-10-04</t>
        </is>
      </c>
      <c r="R28" s="6">
        <f>IF(للمختص!H7="","",للمختص!H7)</f>
        <v/>
      </c>
      <c r="S28" s="6" t="inlineStr">
        <is>
          <t>معتمد</t>
        </is>
      </c>
      <c r="T28" s="6" t="inlineStr">
        <is>
          <t>يذكر «الإعجاز العلمي» ضمن قائمة (خارج نطاقنا كموضوع؛ ذِكره هنا عابر). حساس.</t>
        </is>
      </c>
      <c r="U28" s="9">
        <f>IF(A28="","",IF(J28="","لم يُستخرج بعد",IF(OR(M28="ج",M28="د"),"المستوى لا يُنشر",IF(OR(IFERROR(INDEX(المصادر!$E$2:$E$20,MATCH(D28,المصادر!$A$2:$A$20,0)),"")&lt;&gt;"معروضة",IFERROR(INDEX(المصادر!$F$2:$F$20,MATCH(D28,المصادر!$A$2:$A$20,0)),"")&lt;&gt;"نعم"),"المصدر غير معتمد",IF(OR(B28="",E28="",K28="",M28="",N28=""),"بيانات ناقصة",IF(P28&lt;&gt;"نعم","لم يجتز الفحوص",IF(Q28="","المراجعة غير موثقة",IF(AND(N28="نعم",R28="موافق بتعديل"),"بانتظار تنفيذ التعديل",IF(AND(N28="نعم",R28&lt;&gt;"موافق"),"بانتظار رأي المختص",IF(S28&lt;&gt;"معتمد","لم يُعتمد","قابل للنشر"))))))))))</f>
        <v/>
      </c>
      <c r="V28"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row>
    <row r="29" ht="120" customHeight="1">
      <c r="A29" s="8" t="inlineStr">
        <is>
          <t>ق-25</t>
        </is>
      </c>
      <c r="B29" s="5" t="inlineStr">
        <is>
          <t>ح7</t>
        </is>
      </c>
      <c r="C29" s="5" t="inlineStr">
        <is>
          <t>إضافي</t>
        </is>
      </c>
      <c r="D29" s="6" t="inlineStr">
        <is>
          <t>م-01</t>
        </is>
      </c>
      <c r="E29" s="6" t="inlineStr">
        <is>
          <t>المسألة (25)، ص126–ص127 — مختصر الإجابة</t>
        </is>
      </c>
      <c r="F29" s="5" t="inlineStr">
        <is>
          <t>ادعاء أن القرآن مصدره الكتب السابقة.</t>
        </is>
      </c>
      <c r="G29" s="5" t="inlineStr">
        <is>
          <t>مصدر القرآن لم يكن وحيا من الله تعالى، بل هو مقتبس من الكتب السابقة.</t>
        </is>
      </c>
      <c r="H29" s="5" t="inlineStr">
        <is>
          <t>مصدر القرآن الكريم. | القرآن كلام الله. | الكتب السابقة.</t>
        </is>
      </c>
      <c r="I29" s="5" t="inlineStr">
        <is>
          <t>حول مصدر القرآن وعلاقته بالكتب السابقة؛ من حيث المضمون والأسلوب.</t>
        </is>
      </c>
      <c r="J29"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29" s="6" t="inlineStr">
        <is>
          <t>يعرّف الاقتباس ويبين أنه لا ينطبق على القرآن، لأنه يختلف عن الكتب السابقة في مضمونه وأسلوبه.</t>
        </is>
      </c>
      <c r="L29" s="6" t="inlineStr">
        <is>
          <t>هل نقل محمد القرآن من التوراة والإنجيل؟ | لماذا تتشابه قصص القرآن مع الكتب السابقة؟ | هل القرآن مقتبس؟</t>
        </is>
      </c>
      <c r="M29" s="6" t="inlineStr">
        <is>
          <t>ب</t>
        </is>
      </c>
      <c r="N29" s="6" t="inlineStr">
        <is>
          <t>نعم</t>
        </is>
      </c>
      <c r="O29" s="6" t="inlineStr">
        <is>
          <t>—</t>
        </is>
      </c>
      <c r="P29" s="6" t="inlineStr">
        <is>
          <t>نعم</t>
        </is>
      </c>
      <c r="Q29" s="6" t="inlineStr">
        <is>
          <t>محمد — 2026-10-04</t>
        </is>
      </c>
      <c r="R29" s="6">
        <f>IF(للمختص!H10="","",للمختص!H10)</f>
        <v/>
      </c>
      <c r="S29" s="6" t="inlineStr">
        <is>
          <t>معتمد</t>
        </is>
      </c>
      <c r="T29" s="6" t="inlineStr">
        <is>
          <t>أوقفت المقطع قبل «ومن أمثلة ذلك:» لأن الأمثلة مقارنة تفصيلية بالعهد القديم (ص127). إن أردت ضمها فهي في الصفحة نفسها. حساس.</t>
        </is>
      </c>
      <c r="U29" s="9">
        <f>IF(A29="","",IF(J29="","لم يُستخرج بعد",IF(OR(M29="ج",M29="د"),"المستوى لا يُنشر",IF(OR(IFERROR(INDEX(المصادر!$E$2:$E$20,MATCH(D29,المصادر!$A$2:$A$20,0)),"")&lt;&gt;"معروضة",IFERROR(INDEX(المصادر!$F$2:$F$20,MATCH(D29,المصادر!$A$2:$A$20,0)),"")&lt;&gt;"نعم"),"المصدر غير معتمد",IF(OR(B29="",E29="",K29="",M29="",N29=""),"بيانات ناقصة",IF(P29&lt;&gt;"نعم","لم يجتز الفحوص",IF(Q29="","المراجعة غير موثقة",IF(AND(N29="نعم",R29="موافق بتعديل"),"بانتظار تنفيذ التعديل",IF(AND(N29="نعم",R29&lt;&gt;"موافق"),"بانتظار رأي المختص",IF(S29&lt;&gt;"معتمد","لم يُعتمد","قابل للنشر"))))))))))</f>
        <v/>
      </c>
      <c r="V29"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row>
    <row r="30" ht="120" customHeight="1">
      <c r="A30" s="8" t="inlineStr">
        <is>
          <t>ق-26</t>
        </is>
      </c>
      <c r="B30" s="5" t="inlineStr">
        <is>
          <t>ح7</t>
        </is>
      </c>
      <c r="C30" s="5" t="inlineStr">
        <is>
          <t>إضافي</t>
        </is>
      </c>
      <c r="D30" s="6" t="inlineStr">
        <is>
          <t>م-01</t>
        </is>
      </c>
      <c r="E30" s="6" t="inlineStr">
        <is>
          <t>المسألة (26)، ص131–ص131 — مختصر الإجابة</t>
        </is>
      </c>
      <c r="F30" s="5" t="inlineStr">
        <is>
          <t>ادعاء أن القرآن وثيقة قديمة.</t>
        </is>
      </c>
      <c r="G30" s="5" t="inlineStr">
        <is>
          <t>يقال: إن محمدا وجد وثيقة قديمة، فقام بتعديلها، ثم سماها قرآنا.</t>
        </is>
      </c>
      <c r="H30" s="5" t="inlineStr">
        <is>
          <t>مصدر القرآن الكريم. | القرآن كلام الله. | الكتب السابقة.</t>
        </is>
      </c>
      <c r="I30" s="5" t="inlineStr">
        <is>
          <t>يدور السؤال حول مصدر القرآن، وادعاء كون أصله وثيقة سابقة وجدها النبي ﷺ، فقام بتعديلها، وسماها قرآنا.</t>
        </is>
      </c>
      <c r="J30"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0" s="6" t="inlineStr">
        <is>
          <t>يرد على القول بأن القرآن وثيقة قديمة، بتوافقه مع أسباب النزول، وانتظار النبي ﷺ الوحي أحيانا، وإخباره بأمور مستقبلية تحققت.</t>
        </is>
      </c>
      <c r="L30" s="6" t="inlineStr">
        <is>
          <t>هل وجد النبي القرآن مكتوبا؟ | هل كان النبي ينتظر الوحي؟</t>
        </is>
      </c>
      <c r="M30" s="6" t="inlineStr">
        <is>
          <t>ب</t>
        </is>
      </c>
      <c r="N30" s="6" t="inlineStr">
        <is>
          <t>نعم</t>
        </is>
      </c>
      <c r="O30" s="6" t="inlineStr">
        <is>
          <t>يشير إلى حادثة الإفك دون نص</t>
        </is>
      </c>
      <c r="P30" s="6" t="inlineStr">
        <is>
          <t>نعم</t>
        </is>
      </c>
      <c r="Q30" s="6" t="inlineStr">
        <is>
          <t>محمد — 2026-10-04</t>
        </is>
      </c>
      <c r="R30" s="6">
        <f>IF(للمختص!H11="","",للمختص!H11)</f>
        <v/>
      </c>
      <c r="S30" s="6" t="inlineStr">
        <is>
          <t>معتمد</t>
        </is>
      </c>
      <c r="T30" s="6" t="inlineStr">
        <is>
          <t>لا يوجد في بينات مقطع مباشر عن حال النبي ﷺ قبل البعثة؛ هذا أقرب ما وجدته. يذكر «الحقائق العلمية» عرضا.</t>
        </is>
      </c>
      <c r="U30" s="9">
        <f>IF(A30="","",IF(J30="","لم يُستخرج بعد",IF(OR(M30="ج",M30="د"),"المستوى لا يُنشر",IF(OR(IFERROR(INDEX(المصادر!$E$2:$E$20,MATCH(D30,المصادر!$A$2:$A$20,0)),"")&lt;&gt;"معروضة",IFERROR(INDEX(المصادر!$F$2:$F$20,MATCH(D30,المصادر!$A$2:$A$20,0)),"")&lt;&gt;"نعم"),"المصدر غير معتمد",IF(OR(B30="",E30="",K30="",M30="",N30=""),"بيانات ناقصة",IF(P30&lt;&gt;"نعم","لم يجتز الفحوص",IF(Q30="","المراجعة غير موثقة",IF(AND(N30="نعم",R30="موافق بتعديل"),"بانتظار تنفيذ التعديل",IF(AND(N30="نعم",R30&lt;&gt;"موافق"),"بانتظار رأي المختص",IF(S30&lt;&gt;"معتمد","لم يُعتمد","قابل للنشر"))))))))))</f>
        <v/>
      </c>
      <c r="V30" s="5" t="inlineStr">
        <is>
          <t>يصف القول المخالف بأنه «مجرد افتراء»، ويشير إلى «حادثة الإفك» دون سياق، ويذكر «الحقائق العلمية» ضمن الأدلة (والإعجاز العلمي خارج نطاقنا).</t>
        </is>
      </c>
    </row>
    <row r="31" ht="120" customHeight="1">
      <c r="A31" s="8" t="inlineStr">
        <is>
          <t>ق-27</t>
        </is>
      </c>
      <c r="B31" s="5" t="inlineStr">
        <is>
          <t>ح7</t>
        </is>
      </c>
      <c r="C31" s="5" t="inlineStr">
        <is>
          <t>إضافي</t>
        </is>
      </c>
      <c r="D31" s="6" t="inlineStr">
        <is>
          <t>م-01</t>
        </is>
      </c>
      <c r="E31" s="6" t="inlineStr">
        <is>
          <t>المسألة (29)، ص143–ص143 — مختصر الإجابة</t>
        </is>
      </c>
      <c r="F31" s="5" t="inlineStr">
        <is>
          <t>ادعاء الاستطاعة بإيجاد مثل علوم القرآن ومعارفه لبعض النابغين ذوي المواهب من الناس.</t>
        </is>
      </c>
      <c r="G31" s="5" t="inlineStr">
        <is>
          <t>هل يصح القول بأن ما في القرآن من علوم ومعارف ما هي إلا آثار لمواهب بعض النابغين من الناس، وهذه المواهب وآثارها وجدت، ويمكن أن توجد في كل أمة؟</t>
        </is>
      </c>
      <c r="H31" s="5" t="inlineStr">
        <is>
          <t>هل يمكن للنابغين والموهوبين الإتيان بمثل ما في القرآن من علوم ومعارف؟</t>
        </is>
      </c>
      <c r="I31" s="5" t="inlineStr">
        <is>
          <t>—</t>
        </is>
      </c>
      <c r="J31"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1" s="6" t="inlineStr">
        <is>
          <t>يبين أن ذكاء البشر ومواهبهم مهما بلغت لا تصل إلى ما في القرآن من إعجاز وعلوم تهدي إلى الحق.</t>
        </is>
      </c>
      <c r="L31" s="6" t="inlineStr">
        <is>
          <t>ألا يمكن أن يكون القرآن من عبقري؟ | هل يستطيع شخص ذكي أن يكتب مثل القرآن؟</t>
        </is>
      </c>
      <c r="M31" s="6" t="inlineStr">
        <is>
          <t>ب</t>
        </is>
      </c>
      <c r="N31" s="6" t="inlineStr">
        <is>
          <t>نعم</t>
        </is>
      </c>
      <c r="O31" s="6" t="inlineStr">
        <is>
          <t>لا يوجد في الفقرات المختارة</t>
        </is>
      </c>
      <c r="P31" s="6" t="inlineStr">
        <is>
          <t>نعم</t>
        </is>
      </c>
      <c r="Q31" s="6" t="inlineStr">
        <is>
          <t>محمد — 2026-10-04</t>
        </is>
      </c>
      <c r="R31" s="6">
        <f>IF(للمختص!H12="","",للمختص!H12)</f>
        <v/>
      </c>
      <c r="S31" s="6" t="inlineStr">
        <is>
          <t>معتمد</t>
        </is>
      </c>
      <c r="T31" s="6" t="inlineStr">
        <is>
          <t>يبدأ بـ«ينقض هذا الادعاء» وهي إحالة لسؤال سابق: يُعرض مع السؤال أو يُستبعد (معيار البداية). المختصر يكمل بأمثلة في ص143–144 لم أنقلها.</t>
        </is>
      </c>
      <c r="U31" s="9">
        <f>IF(A31="","",IF(J31="","لم يُستخرج بعد",IF(OR(M31="ج",M31="د"),"المستوى لا يُنشر",IF(OR(IFERROR(INDEX(المصادر!$E$2:$E$20,MATCH(D31,المصادر!$A$2:$A$20,0)),"")&lt;&gt;"معروضة",IFERROR(INDEX(المصادر!$F$2:$F$20,MATCH(D31,المصادر!$A$2:$A$20,0)),"")&lt;&gt;"نعم"),"المصدر غير معتمد",IF(OR(B31="",E31="",K31="",M31="",N31=""),"بيانات ناقصة",IF(P31&lt;&gt;"نعم","لم يجتز الفحوص",IF(Q31="","المراجعة غير موثقة",IF(AND(N31="نعم",R31="موافق بتعديل"),"بانتظار تنفيذ التعديل",IF(AND(N31="نعم",R31&lt;&gt;"موافق"),"بانتظار رأي المختص",IF(S31&lt;&gt;"معتمد","لم يُعتمد","قابل للنشر"))))))))))</f>
        <v/>
      </c>
      <c r="V31"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row>
    <row r="32" ht="160" customHeight="1">
      <c r="A32" s="8" t="inlineStr">
        <is>
          <t>ق-34</t>
        </is>
      </c>
      <c r="B32" s="5" t="inlineStr">
        <is>
          <t>ح1</t>
        </is>
      </c>
      <c r="C32" s="5" t="inlineStr">
        <is>
          <t>إضافي</t>
        </is>
      </c>
      <c r="D32" s="6" t="inlineStr">
        <is>
          <t>م-02</t>
        </is>
      </c>
      <c r="E32" s="6" t="inlineStr">
        <is>
          <t>المبحث الأول: تعريف القرآن لغةً — https://dorar.net/aqeeda/1363</t>
        </is>
      </c>
      <c r="F32" s="5" t="n"/>
      <c r="G32" s="5" t="n"/>
      <c r="H32" s="5" t="n"/>
      <c r="I32" s="5" t="inlineStr">
        <is>
          <t>—</t>
        </is>
      </c>
      <c r="J32"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32" s="6" t="inlineStr">
        <is>
          <t>معنى كلمة «قرآن» في اللغة، ولماذا سُمّي القرآن بهذا الاسم.</t>
        </is>
      </c>
      <c r="L32" s="6" t="inlineStr">
        <is>
          <t>ما معنى كلمة قرآن؟ | لماذا سمي القرآن قرآناً؟</t>
        </is>
      </c>
      <c r="M32" s="6" t="inlineStr">
        <is>
          <t>أ</t>
        </is>
      </c>
      <c r="N32" s="6" t="inlineStr">
        <is>
          <t>لا</t>
        </is>
      </c>
      <c r="O32" s="6" t="inlineStr">
        <is>
          <t>—</t>
        </is>
      </c>
      <c r="P32" s="6" t="n"/>
      <c r="Q32" s="6" t="n"/>
      <c r="R32" s="6" t="n"/>
      <c r="S32" s="6" t="inlineStr">
        <is>
          <t>جاهز للمراجعة</t>
        </is>
      </c>
      <c r="T32" s="6" t="inlineStr">
        <is>
          <t>المبحث كاملاً.</t>
        </is>
      </c>
      <c r="U32" s="9">
        <f>IF(A32="","",IF(J32="","لم يُستخرج بعد",IF(OR(M32="ج",M32="د"),"المستوى لا يُنشر",IF(OR(IFERROR(INDEX(المصادر!$E$2:$E$20,MATCH(D32,المصادر!$A$2:$A$20,0)),"")&lt;&gt;"معروضة",IFERROR(INDEX(المصادر!$F$2:$F$20,MATCH(D32,المصادر!$A$2:$A$20,0)),"")&lt;&gt;"نعم"),"المصدر غير معتمد",IF(OR(B32="",E32="",K32="",M32="",N32=""),"بيانات ناقصة",IF(P32&lt;&gt;"نعم","لم يجتز الفحوص",IF(Q32="","المراجعة غير موثقة",IF(AND(N32="نعم",R32="موافق بتعديل"),"بانتظار تنفيذ التعديل",IF(AND(N32="نعم",R32&lt;&gt;"موافق"),"بانتظار رأي المختص",IF(S32&lt;&gt;"معتمد","لم يُعتمد","قابل للنشر"))))))))))</f>
        <v/>
      </c>
      <c r="V32" s="12" t="n"/>
    </row>
    <row r="33" ht="160" customHeight="1">
      <c r="A33" s="8" t="inlineStr">
        <is>
          <t>ق-35</t>
        </is>
      </c>
      <c r="B33" s="5" t="inlineStr">
        <is>
          <t>ح1</t>
        </is>
      </c>
      <c r="C33" s="5" t="inlineStr">
        <is>
          <t>إضافي</t>
        </is>
      </c>
      <c r="D33" s="6" t="inlineStr">
        <is>
          <t>م-02</t>
        </is>
      </c>
      <c r="E33" s="6" t="inlineStr">
        <is>
          <t>المبحث الثاني: الفرق بين القرآن الكريم والحديث القدسي، الفروق 1–4 من 13 — https://dorar.net/aqeeda/1365</t>
        </is>
      </c>
      <c r="F33" s="5" t="n"/>
      <c r="G33" s="5" t="n"/>
      <c r="H33" s="5" t="n"/>
      <c r="I33" s="5" t="inlineStr">
        <is>
          <t>—</t>
        </is>
      </c>
      <c r="J33"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33" s="6" t="inlineStr">
        <is>
          <t>الفرق بين القرآن الكريم والحديث القدسي: التحدي بالقرآن، وتواتره، وأنه من الله لفظاً ومعنى، ونسبته إلى الله.</t>
        </is>
      </c>
      <c r="L33" s="6" t="inlineStr">
        <is>
          <t>ما الفرق بين القرآن والحديث القدسي؟ | هل الحديث القدسي من القرآن؟ | ما الفرق بين القرآن والحديث؟</t>
        </is>
      </c>
      <c r="M33" s="6" t="inlineStr">
        <is>
          <t>ب</t>
        </is>
      </c>
      <c r="N33" s="6" t="inlineStr">
        <is>
          <t>لا</t>
        </is>
      </c>
      <c r="O33" s="6" t="inlineStr">
        <is>
          <t>—</t>
        </is>
      </c>
      <c r="P33" s="6" t="n"/>
      <c r="Q33" s="6" t="n"/>
      <c r="R33" s="6" t="n"/>
      <c r="S33" s="6" t="inlineStr">
        <is>
          <t>جاهز للمراجعة</t>
        </is>
      </c>
      <c r="T33" s="6" t="inlineStr">
        <is>
          <t>اخترت الفروق 1–4 من 13؛ تركت 5 و6 و10 و11 لأنها أحكام فقهية (الجنب، الصلاة، التكفير، الاستعاذة)، وتركت 7–9 و12–13 للطول.</t>
        </is>
      </c>
      <c r="U33" s="9">
        <f>IF(A33="","",IF(J33="","لم يُستخرج بعد",IF(OR(M33="ج",M33="د"),"المستوى لا يُنشر",IF(OR(IFERROR(INDEX(المصادر!$E$2:$E$20,MATCH(D33,المصادر!$A$2:$A$20,0)),"")&lt;&gt;"معروضة",IFERROR(INDEX(المصادر!$F$2:$F$20,MATCH(D33,المصادر!$A$2:$A$20,0)),"")&lt;&gt;"نعم"),"المصدر غير معتمد",IF(OR(B33="",E33="",K33="",M33="",N33=""),"بيانات ناقصة",IF(P33&lt;&gt;"نعم","لم يجتز الفحوص",IF(Q33="","المراجعة غير موثقة",IF(AND(N33="نعم",R33="موافق بتعديل"),"بانتظار تنفيذ التعديل",IF(AND(N33="نعم",R33&lt;&gt;"موافق"),"بانتظار رأي المختص",IF(S33&lt;&gt;"معتمد","لم يُعتمد","قابل للنشر"))))))))))</f>
        <v/>
      </c>
      <c r="V33" s="12" t="n"/>
    </row>
  </sheetData>
  <autoFilter ref="A1:V33"/>
  <conditionalFormatting sqref="N2:N60">
    <cfRule type="expression" priority="1" dxfId="0">
      <formula>$N2="نعم"</formula>
    </cfRule>
  </conditionalFormatting>
  <conditionalFormatting sqref="U2:U60">
    <cfRule type="expression" priority="2" dxfId="1">
      <formula>$U2="قابل للنشر"</formula>
    </cfRule>
  </conditionalFormatting>
  <dataValidations count="7">
    <dataValidation sqref="B2:B60" showDropDown="0" showInputMessage="0" showErrorMessage="0" allowBlank="1" type="list">
      <formula1>"ح1,ح2,ح3,ح4,ح5,ح6,ح7"</formula1>
    </dataValidation>
    <dataValidation sqref="C2:C60" showDropDown="0" showInputMessage="0" showErrorMessage="0" allowBlank="1" type="list">
      <formula1>"أساسي,إضافي"</formula1>
    </dataValidation>
    <dataValidation sqref="M2:M60" showDropDown="0" showInputMessage="0" showErrorMessage="0" allowBlank="1" type="list">
      <formula1>"أ,ب,ج,د"</formula1>
    </dataValidation>
    <dataValidation sqref="N2:N60" showDropDown="0" showInputMessage="0" showErrorMessage="0" allowBlank="1" type="list">
      <formula1>"نعم,لا"</formula1>
    </dataValidation>
    <dataValidation sqref="P2:P60" showDropDown="0" showInputMessage="0" showErrorMessage="0" allowBlank="1" type="list">
      <formula1>"نعم,لا"</formula1>
    </dataValidation>
    <dataValidation sqref="R2:R60" showDropDown="0" showInputMessage="0" showErrorMessage="0" allowBlank="1" type="list">
      <formula1>"موافق,موافق بتعديل,غير موافق"</formula1>
    </dataValidation>
    <dataValidation sqref="S2:S60" showDropDown="0" showInputMessage="0" showErrorMessage="0" allowBlank="1" type="list">
      <formula1>"لم يُستخرج,جاهز للمراجعة,معتمد,مرفوض"</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80" customWidth="1" min="3" max="3"/>
    <col width="12" customWidth="1" min="4" max="4"/>
    <col width="12" customWidth="1" min="5" max="5"/>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الحالة</t>
        </is>
      </c>
    </row>
    <row r="2">
      <c r="A2" s="5" t="inlineStr">
        <is>
          <t>و-01</t>
        </is>
      </c>
      <c r="B2" s="5" t="inlineStr">
        <is>
          <t>أعلى كل صفحة</t>
        </is>
      </c>
      <c r="C2" s="6" t="inlineStr">
        <is>
          <t>«دليل» أداة تستعين بالذكاء الاصطناعي لتختار لك مقطعاً من مصادر إسلامية معتمدة راجعها مختص. لا تكتب إجابات من عندها، وقد تخطئ في الاختيار.</t>
        </is>
      </c>
      <c r="D2" s="5" t="inlineStr">
        <is>
          <t>نعم</t>
        </is>
      </c>
      <c r="E2" s="6" t="inlineStr">
        <is>
          <t>مسودة</t>
        </is>
      </c>
    </row>
    <row r="3">
      <c r="A3" s="5" t="inlineStr">
        <is>
          <t>و-02</t>
        </is>
      </c>
      <c r="B3" s="5" t="inlineStr">
        <is>
          <t>بعد كل جزء معروض</t>
        </is>
      </c>
      <c r="C3" s="6" t="inlineStr">
        <is>
          <t>هل أجاب هذا عن سؤالك؟  [نعم] [جزئياً] [لا]</t>
        </is>
      </c>
      <c r="D3" s="5" t="inlineStr">
        <is>
          <t>لا</t>
        </is>
      </c>
      <c r="E3" s="6" t="inlineStr">
        <is>
          <t>مسودة</t>
        </is>
      </c>
    </row>
    <row r="4">
      <c r="A4" s="5" t="inlineStr">
        <is>
          <t>و-03</t>
        </is>
      </c>
      <c r="B4" s="5" t="inlineStr">
        <is>
          <t>بعد «جزئياً»</t>
        </is>
      </c>
      <c r="C4" s="6" t="inlineStr">
        <is>
          <t>ما الذي بقي دون إجابة؟ اكتبه بكلماتك.</t>
        </is>
      </c>
      <c r="D4" s="5" t="inlineStr">
        <is>
          <t>لا</t>
        </is>
      </c>
      <c r="E4" s="6" t="inlineStr">
        <is>
          <t>مسودة</t>
        </is>
      </c>
    </row>
    <row r="5">
      <c r="A5" s="5" t="inlineStr">
        <is>
          <t>و-04</t>
        </is>
      </c>
      <c r="B5" s="5" t="inlineStr">
        <is>
          <t>فوق كل مقطع (يُملأ من السجل)</t>
        </is>
      </c>
      <c r="C5" s="6" t="inlineStr">
        <is>
          <t>يجيب هذا المقطع عن: {يجيب_عن}</t>
        </is>
      </c>
      <c r="D5" s="5" t="inlineStr">
        <is>
          <t>لا</t>
        </is>
      </c>
      <c r="E5" s="6" t="inlineStr">
        <is>
          <t>مسودة</t>
        </is>
      </c>
    </row>
    <row r="6">
      <c r="A6" s="5" t="inlineStr">
        <is>
          <t>و-05</t>
        </is>
      </c>
      <c r="B6" s="5" t="inlineStr">
        <is>
          <t>تحت وصف «يجيب عن»</t>
        </is>
      </c>
      <c r="C6" s="6" t="inlineStr">
        <is>
          <t>وصف مساعد كُتب بمساعدة الذكاء الاصطناعي وراجعه صاحب المشروع. النص المعتمد هو المقتبس.</t>
        </is>
      </c>
      <c r="D6" s="5" t="inlineStr">
        <is>
          <t>لا</t>
        </is>
      </c>
      <c r="E6" s="6" t="inlineStr">
        <is>
          <t>مسودة</t>
        </is>
      </c>
    </row>
    <row r="7">
      <c r="A7" s="5" t="inlineStr">
        <is>
          <t>ست-01</t>
        </is>
      </c>
      <c r="B7" s="5" t="inlineStr">
        <is>
          <t>التباس بين ح1 وح7</t>
        </is>
      </c>
      <c r="C7" s="6" t="inlineStr">
        <is>
          <t>هل تريد تعريفاً بالقرآن ومكانته، أم الأسباب التي تجعل المسلمين يؤمنون أنه من عند الله؟</t>
        </is>
      </c>
      <c r="D7" s="5" t="inlineStr">
        <is>
          <t>نعم</t>
        </is>
      </c>
      <c r="E7" s="6" t="inlineStr">
        <is>
          <t>مسودة</t>
        </is>
      </c>
    </row>
    <row r="8">
      <c r="A8" s="5" t="inlineStr">
        <is>
          <t>ست-02</t>
        </is>
      </c>
      <c r="B8" s="5" t="inlineStr">
        <is>
          <t>التباس بين ح2 وح7</t>
        </is>
      </c>
      <c r="C8" s="6" t="inlineStr">
        <is>
          <t>هل تقصد كيف كان الوحي يأتي النبي ﷺ، أم لماذا يؤمن المسلمون أن القرآن من عند الله؟</t>
        </is>
      </c>
      <c r="D8" s="5" t="inlineStr">
        <is>
          <t>نعم</t>
        </is>
      </c>
      <c r="E8" s="6" t="inlineStr">
        <is>
          <t>مسودة</t>
        </is>
      </c>
    </row>
    <row r="9">
      <c r="A9" s="5" t="inlineStr">
        <is>
          <t>ست-03</t>
        </is>
      </c>
      <c r="B9" s="5" t="inlineStr">
        <is>
          <t>سؤال عن «نسخ مختلفة» أو تغيّر القرآن</t>
        </is>
      </c>
      <c r="C9" s="6" t="inlineStr">
        <is>
          <t>هل تسأل: هل القرآن الذي بين أيدينا هو نفسه الذي نزل على النبي ﷺ؟</t>
        </is>
      </c>
      <c r="D9" s="5" t="inlineStr">
        <is>
          <t>نعم</t>
        </is>
      </c>
      <c r="E9" s="6" t="inlineStr">
        <is>
          <t>مسودة</t>
        </is>
      </c>
    </row>
    <row r="10">
      <c r="A10" s="5" t="inlineStr">
        <is>
          <t>ست-04</t>
        </is>
      </c>
      <c r="B10" s="5" t="inlineStr">
        <is>
          <t>سؤال واسع</t>
        </is>
      </c>
      <c r="C10" s="6" t="inlineStr">
        <is>
          <t>يمكننا أن نبدأ من أكثر من جهة، فبأيّها تبدأ؟</t>
        </is>
      </c>
      <c r="D10" s="5" t="inlineStr">
        <is>
          <t>لا</t>
        </is>
      </c>
      <c r="E10" s="6" t="inlineStr">
        <is>
          <t>مسودة</t>
        </is>
      </c>
    </row>
    <row r="11">
      <c r="A11" s="5" t="inlineStr">
        <is>
          <t>ام-01</t>
        </is>
      </c>
      <c r="B11" s="5" t="inlineStr">
        <is>
          <t>سؤال خارج القرآن</t>
        </is>
      </c>
      <c r="C11" s="6" t="inlineStr">
        <is>
          <t>يختص «دليل» حالياً بالتعرّف إلى القرآن الكريم، وسؤالك عن موضوع آخر. يمكنك الرجوع إلى الموسوعات العلمية في موقع الدرر السنية (dorar.net).</t>
        </is>
      </c>
      <c r="D11" s="5" t="inlineStr">
        <is>
          <t>نعم</t>
        </is>
      </c>
      <c r="E11" s="6" t="inlineStr">
        <is>
          <t>مسودة</t>
        </is>
      </c>
    </row>
    <row r="12">
      <c r="A12" s="5" t="inlineStr">
        <is>
          <t>ام-02</t>
        </is>
      </c>
      <c r="B12" s="5" t="inlineStr">
        <is>
          <t>فتوى أو حالة شخصية (المستوى د)</t>
        </is>
      </c>
      <c r="C12" s="6" t="inlineStr">
        <is>
          <t>سؤالك يحتاج إلى جواب يراعي حالتك بعينها، وهذا خارج ما يقدمه «دليل». ننصحك بسؤال عالم أو جهة إفتاء موثوقة في بلدك.</t>
        </is>
      </c>
      <c r="D12" s="5" t="inlineStr">
        <is>
          <t>نعم</t>
        </is>
      </c>
      <c r="E12" s="6" t="inlineStr">
        <is>
          <t>مسودة</t>
        </is>
      </c>
    </row>
    <row r="13">
      <c r="A13" s="5" t="inlineStr">
        <is>
          <t>ام-03</t>
        </is>
      </c>
      <c r="B13" s="5" t="inlineStr">
        <is>
          <t>القراءات وأوجه الأداء (قرار نطاق)</t>
        </is>
      </c>
      <c r="C13" s="6" t="inlineStr">
        <is>
          <t>تفاصيل القراءات علم متخصص لا يغطيه «دليل» في نسخته الحالية، ويُرجع فيه إلى أهل الاختصاص.</t>
        </is>
      </c>
      <c r="D13" s="5" t="inlineStr">
        <is>
          <t>نعم</t>
        </is>
      </c>
      <c r="E13" s="6" t="inlineStr">
        <is>
          <t>مسودة</t>
        </is>
      </c>
    </row>
    <row r="14">
      <c r="A14" s="5" t="inlineStr">
        <is>
          <t>ام-04</t>
        </is>
      </c>
      <c r="B14" s="5" t="inlineStr">
        <is>
          <t>«الإعجاز العلمي» (قرار نطاق)</t>
        </is>
      </c>
      <c r="C14" s="6" t="inlineStr">
        <is>
          <t>هذا الموضوع خارج ما تغطيه هذه النسخة من «دليل».</t>
        </is>
      </c>
      <c r="D14" s="5" t="inlineStr">
        <is>
          <t>نعم</t>
        </is>
      </c>
      <c r="E14" s="6" t="inlineStr">
        <is>
          <t>مسودة</t>
        </is>
      </c>
    </row>
    <row r="15">
      <c r="A15" s="5" t="inlineStr">
        <is>
          <t>ام-05</t>
        </is>
      </c>
      <c r="B15" s="5" t="inlineStr">
        <is>
          <t>طلب حديث أو نص غير موجود في المواد</t>
        </is>
      </c>
      <c r="C15" s="6" t="inlineStr">
        <is>
          <t>لم نجد في مواد «دليل» المراجعة ما يطابق طلبك، ولا نعرض نصاً لم نتحقق منه. يمكنك البحث في الموسوعة الحديثية بموقع الدرر السنية، مع حكم كل حديث.</t>
        </is>
      </c>
      <c r="D15" s="5" t="inlineStr">
        <is>
          <t>نعم</t>
        </is>
      </c>
      <c r="E15" s="6" t="inlineStr">
        <is>
          <t>مسودة</t>
        </is>
      </c>
    </row>
    <row r="16">
      <c r="A16" s="5" t="inlineStr">
        <is>
          <t>ام-06</t>
        </is>
      </c>
      <c r="B16" s="5" t="inlineStr">
        <is>
          <t>آية لم تُعثر عليها في المصحف</t>
        </is>
      </c>
      <c r="C16" s="6" t="inlineStr">
        <is>
          <t>لم نجد آية تطابق النص الذي كتبته. يمكنك البحث عنها في مصحف موثوق مثل quranpedia.net.</t>
        </is>
      </c>
      <c r="D16" s="5" t="inlineStr">
        <is>
          <t>لا</t>
        </is>
      </c>
      <c r="E16" s="6" t="inlineStr">
        <is>
          <t>مسودة</t>
        </is>
      </c>
    </row>
    <row r="17">
      <c r="A17" s="5" t="inlineStr">
        <is>
          <t>ام-07</t>
        </is>
      </c>
      <c r="B17" s="5" t="inlineStr">
        <is>
          <t>الحاجة داخل النطاق ولا جزء مناسب</t>
        </is>
      </c>
      <c r="C17" s="6" t="inlineStr">
        <is>
          <t>لم نجد في مواد «دليل» المراجعة جزءاً يجيب عن هذا بدقة. نفضّل أن نخبرك بذلك على أن نعرض عليك ما لا يجيب. اختر من الأسئلة المتاحة أدناه.</t>
        </is>
      </c>
      <c r="D17" s="5" t="inlineStr">
        <is>
          <t>لا</t>
        </is>
      </c>
      <c r="E17" s="6" t="inlineStr">
        <is>
          <t>مسودة</t>
        </is>
      </c>
    </row>
    <row r="18">
      <c r="A18" s="5" t="inlineStr">
        <is>
          <t>ام-08</t>
        </is>
      </c>
      <c r="B18" s="5" t="inlineStr">
        <is>
          <t>سؤال بغير العربية</t>
        </is>
      </c>
      <c r="C18" s="6" t="inlineStr">
        <is>
          <t>يعمل «دليل» حالياً باللغة العربية فقط. — Daleel currently works in Arabic only.</t>
        </is>
      </c>
      <c r="D18" s="5" t="inlineStr">
        <is>
          <t>لا</t>
        </is>
      </c>
      <c r="E18" s="6" t="inlineStr">
        <is>
          <t>مسودة</t>
        </is>
      </c>
    </row>
    <row r="19">
      <c r="A19" s="5" t="inlineStr">
        <is>
          <t>ام-09</t>
        </is>
      </c>
      <c r="B19" s="5" t="inlineStr">
        <is>
          <t>تفسير آية بعينها (قرار نطاق)</t>
        </is>
      </c>
      <c r="C19" s="6" t="inlineStr">
        <is>
          <t>تفسير آيات بعينها خارج ما يغطيه «دليل» حالياً. يمكنك الرجوع إلى موسوعة التفسير بموقع الدرر السنية.</t>
        </is>
      </c>
      <c r="D19" s="5" t="inlineStr">
        <is>
          <t>نعم</t>
        </is>
      </c>
      <c r="E19" s="6" t="inlineStr">
        <is>
          <t>مسودة</t>
        </is>
      </c>
    </row>
    <row r="20">
      <c r="A20" s="5" t="inlineStr">
        <is>
          <t>ام-10</t>
        </is>
      </c>
      <c r="B20" s="5" t="inlineStr">
        <is>
          <t>تعطل خدمة الفهم</t>
        </is>
      </c>
      <c r="C20" s="6" t="inlineStr">
        <is>
          <t>خدمة فهم الأسئلة متوقفة مؤقتاً. اختر سؤالك من القائمة.</t>
        </is>
      </c>
      <c r="D20" s="5" t="inlineStr">
        <is>
          <t>لا</t>
        </is>
      </c>
      <c r="E20" s="6" t="inlineStr">
        <is>
          <t>مسودة</t>
        </is>
      </c>
    </row>
    <row r="21">
      <c r="A21" s="5" t="inlineStr">
        <is>
          <t>و-06</t>
        </is>
      </c>
      <c r="B21" s="5" t="inlineStr">
        <is>
          <t>فوق نص المقطع (يُملأ من السجل)</t>
        </is>
      </c>
      <c r="C21" s="6" t="inlineStr">
        <is>
          <t>من جواب «{المصدر}» عن سؤال: {عنوان_المسألة}</t>
        </is>
      </c>
      <c r="D21" s="5" t="inlineStr">
        <is>
          <t>لا</t>
        </is>
      </c>
      <c r="E21" s="6" t="inlineStr">
        <is>
          <t>مسودة</t>
        </is>
      </c>
    </row>
    <row r="22">
      <c r="A22" s="5" t="inlineStr">
        <is>
          <t>و-07</t>
        </is>
      </c>
      <c r="B22" s="5" t="inlineStr">
        <is>
          <t>شاشة البداية</t>
        </is>
      </c>
      <c r="C22" s="6" t="inlineStr">
        <is>
          <t>اكتب سؤالك عن القرآن بكلماتك، مثل: كيف حُفظ القرآن؟ أو اختر من الأسئلة أدناه.</t>
        </is>
      </c>
      <c r="D22" s="5" t="inlineStr">
        <is>
          <t>لا</t>
        </is>
      </c>
      <c r="E22" s="6" t="inlineStr">
        <is>
          <t>مسودة</t>
        </is>
      </c>
    </row>
    <row r="23">
      <c r="A23" s="5" t="inlineStr">
        <is>
          <t>و-08</t>
        </is>
      </c>
      <c r="B23" s="5" t="inlineStr">
        <is>
          <t>سطر الخصوصية</t>
        </is>
      </c>
      <c r="C23" s="6" t="inlineStr">
        <is>
          <t>لا تكتب اسمك أو أي معلومات شخصية. لا نحفظ نص سؤالك، ونرسله إلى مزوّد النموذج اللغوي لفهمه فقط.</t>
        </is>
      </c>
      <c r="D23" s="5" t="inlineStr">
        <is>
          <t>لا</t>
        </is>
      </c>
      <c r="E23" s="6" t="inlineStr">
        <is>
          <t>مسودة</t>
        </is>
      </c>
    </row>
    <row r="24">
      <c r="A24" s="5" t="inlineStr">
        <is>
          <t>و-09</t>
        </is>
      </c>
      <c r="B24" s="5" t="inlineStr">
        <is>
          <t>بعد «لا»</t>
        </is>
      </c>
      <c r="C24" s="6" t="inlineStr">
        <is>
          <t>شكراً لإخبارنا. يمكنك إعادة صياغة سؤالك، أو اختيار سؤال من القائمة.</t>
        </is>
      </c>
      <c r="D24" s="5" t="inlineStr">
        <is>
          <t>لا</t>
        </is>
      </c>
      <c r="E24" s="6" t="inlineStr">
        <is>
          <t>مسودة</t>
        </is>
      </c>
    </row>
    <row r="25">
      <c r="A25" s="5" t="inlineStr">
        <is>
          <t>و-10</t>
        </is>
      </c>
      <c r="B25" s="5" t="inlineStr">
        <is>
          <t>بعد «نعم»</t>
        </is>
      </c>
      <c r="C25" s="6" t="inlineStr">
        <is>
          <t>قد يهمك بعدها:</t>
        </is>
      </c>
      <c r="D25" s="5" t="inlineStr">
        <is>
          <t>لا</t>
        </is>
      </c>
      <c r="E25" s="6" t="inlineStr">
        <is>
          <t>مسودة</t>
        </is>
      </c>
    </row>
    <row r="26">
      <c r="A26" s="5" t="inlineStr">
        <is>
          <t>و-11</t>
        </is>
      </c>
      <c r="B26" s="5" t="inlineStr">
        <is>
          <t>إدخال فارغ أو غير مفهوم</t>
        </is>
      </c>
      <c r="C26" s="6" t="inlineStr">
        <is>
          <t>لم نتمكن من قراءة سؤالك. اكتب سؤالاً قصيراً عن القرآن، أو اختر من القائمة.</t>
        </is>
      </c>
      <c r="D26" s="5" t="inlineStr">
        <is>
          <t>لا</t>
        </is>
      </c>
      <c r="E26" s="6" t="inlineStr">
        <is>
          <t>مسودة</t>
        </is>
      </c>
    </row>
    <row r="27">
      <c r="A27" s="5" t="inlineStr">
        <is>
          <t>و-12</t>
        </is>
      </c>
      <c r="B27" s="5" t="inlineStr">
        <is>
          <t>ما بقي غير مغطى</t>
        </is>
      </c>
      <c r="C27" s="6" t="inlineStr">
        <is>
          <t>لم نجد في مواد «دليل» جزءاً آخر يجيب عمّا بقي من سؤالك. نفضّل أن نخبرك بذلك على أن نعرض ما لا يجيب.</t>
        </is>
      </c>
      <c r="D27" s="5" t="inlineStr">
        <is>
          <t>لا</t>
        </is>
      </c>
      <c r="E27" s="6" t="inlineStr">
        <is>
          <t>مسودة</t>
        </is>
      </c>
    </row>
    <row r="28">
      <c r="A28" s="5" t="inlineStr">
        <is>
          <t>و-13</t>
        </is>
      </c>
      <c r="B28" s="5" t="inlineStr">
        <is>
          <t>آية مطابقة للمصحف</t>
        </is>
      </c>
      <c r="C28" s="6" t="inlineStr">
        <is>
          <t>هذا نص الآية كما في المصحف:</t>
        </is>
      </c>
      <c r="D28" s="5" t="inlineStr">
        <is>
          <t>لا</t>
        </is>
      </c>
      <c r="E28" s="6" t="inlineStr">
        <is>
          <t>مسودة</t>
        </is>
      </c>
    </row>
    <row r="29">
      <c r="A29" s="5" t="inlineStr">
        <is>
          <t>و-14</t>
        </is>
      </c>
      <c r="B29" s="5" t="inlineStr">
        <is>
          <t>آية مكتوبة بنص مختلف</t>
        </is>
      </c>
      <c r="C29" s="6" t="inlineStr">
        <is>
          <t>النص الذي كتبته يختلف عن نص المصحف. هذا نص الآية كما في المصحف:</t>
        </is>
      </c>
      <c r="D29" s="5" t="inlineStr">
        <is>
          <t>نعم</t>
        </is>
      </c>
      <c r="E29" s="6" t="inlineStr">
        <is>
          <t>مسودة</t>
        </is>
      </c>
    </row>
    <row r="30">
      <c r="A30" s="5" t="inlineStr">
        <is>
          <t>و-15</t>
        </is>
      </c>
      <c r="B30" s="5" t="inlineStr">
        <is>
          <t>أسفل كل مقطع</t>
        </is>
      </c>
      <c r="C30" s="6" t="inlineStr">
        <is>
          <t>لا يتجاوز «دليل» هذا النص المقتبس، ولا يضيف إليه شرحاً من عنده.</t>
        </is>
      </c>
      <c r="D30" s="5" t="inlineStr">
        <is>
          <t>لا</t>
        </is>
      </c>
      <c r="E30" s="6" t="inlineStr">
        <is>
          <t>مسودة</t>
        </is>
      </c>
    </row>
  </sheetData>
  <dataValidations count="1">
    <dataValidation sqref="E2:E40" showDropDown="0" showInputMessage="0" showErrorMessage="0" allowBlank="1" type="list">
      <formula1>"مسودة,معتمد"</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4" customWidth="1" min="3" max="3"/>
  </cols>
  <sheetData>
    <row r="1" ht="34" customHeight="1">
      <c r="A1" s="4" t="inlineStr">
        <is>
          <t>المؤشر</t>
        </is>
      </c>
      <c r="B1" s="4" t="inlineStr">
        <is>
          <t>الحالي</t>
        </is>
      </c>
      <c r="C1" s="4" t="inlineStr">
        <is>
          <t>الهدف</t>
        </is>
      </c>
    </row>
    <row r="2">
      <c r="A2" s="5" t="inlineStr">
        <is>
          <t>مقاطع أساسية مخططة</t>
        </is>
      </c>
      <c r="B2" s="9">
        <f>COUNTIF(المقاطع!$C$2:$C$60,"أساسي")</f>
        <v/>
      </c>
      <c r="C2" s="5" t="inlineStr">
        <is>
          <t>20</t>
        </is>
      </c>
    </row>
    <row r="3">
      <c r="A3" s="5" t="inlineStr">
        <is>
          <t>أساسية قابلة للنشر</t>
        </is>
      </c>
      <c r="B3" s="9">
        <f>COUNTIFS(المقاطع!$C$2:$C$60,"أساسي",المقاطع!$U$2:$U$60,"قابل للنشر")</f>
        <v/>
      </c>
      <c r="C3" s="5" t="inlineStr">
        <is>
          <t>20</t>
        </is>
      </c>
    </row>
    <row r="4">
      <c r="A4" s="5" t="inlineStr">
        <is>
          <t>إضافية قابلة للنشر</t>
        </is>
      </c>
      <c r="B4" s="9">
        <f>COUNTIFS(المقاطع!$C$2:$C$60,"إضافي",المقاطع!$U$2:$U$60,"قابل للنشر")</f>
        <v/>
      </c>
      <c r="C4" s="5" t="inlineStr">
        <is>
          <t>—</t>
        </is>
      </c>
    </row>
    <row r="5">
      <c r="A5" s="5" t="inlineStr">
        <is>
          <t>بانتظار رأي المختص الأعلم</t>
        </is>
      </c>
      <c r="B5" s="9">
        <f>COUNTIF(المقاطع!$U$2:$U$60,"بانتظار*")</f>
        <v/>
      </c>
      <c r="C5" s="5" t="inlineStr">
        <is>
          <t>0</t>
        </is>
      </c>
    </row>
    <row r="6">
      <c r="A6" s="5" t="inlineStr">
        <is>
          <t>لم تُستخرج بعد</t>
        </is>
      </c>
      <c r="B6" s="9">
        <f>COUNTIF(المقاطع!$U$2:$U$60,"لم يُستخرج بعد")</f>
        <v/>
      </c>
      <c r="C6" s="5" t="inlineStr">
        <is>
          <t>0</t>
        </is>
      </c>
    </row>
    <row r="7">
      <c r="A7" s="5" t="inlineStr">
        <is>
          <t>احتياجات مكتملة التغطية</t>
        </is>
      </c>
      <c r="B7" s="9">
        <f>COUNTIF(الاحتياجات!$I$2:$I$8,"مكتملة")</f>
        <v/>
      </c>
      <c r="C7" s="5" t="inlineStr">
        <is>
          <t>7</t>
        </is>
      </c>
    </row>
    <row r="8">
      <c r="A8" s="5" t="inlineStr">
        <is>
          <t>قوالب معتمدة</t>
        </is>
      </c>
      <c r="B8" s="9">
        <f>COUNTIF(القوالب!$E$2:$E$40,"معتمد")</f>
        <v/>
      </c>
      <c r="C8" s="5">
        <f>COUNTA(القوالب!$A$2:$A$40)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2026-10-04T14:18:10Z</dcterms:created>
  <dcterms:modified xmlns:dcterms="http://purl.org/dc/terms/" xmlns:xsi="http://www.w3.org/2001/XMLSchema-instance" xsi:type="dcterms:W3CDTF">2026-10-04T14:52:06Z</dcterms:modified>
</cp:coreProperties>
</file>